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420"/>
  </bookViews>
  <sheets>
    <sheet name="rpt" sheetId="1" r:id="rId1"/>
    <sheet name="rpt_g" sheetId="2" r:id="rId2"/>
    <sheet name="cfg" sheetId="3" r:id="rId3"/>
    <sheet name="cfg_g" sheetId="4" r:id="rId4"/>
    <sheet name="rsi" sheetId="5" r:id="rId5"/>
    <sheet name="字典" sheetId="6" r:id="rId6"/>
  </sheets>
  <calcPr calcId="144525"/>
</workbook>
</file>

<file path=xl/sharedStrings.xml><?xml version="1.0" encoding="utf-8"?>
<sst xmlns="http://schemas.openxmlformats.org/spreadsheetml/2006/main" count="1447" uniqueCount="375">
  <si>
    <t>日期</t>
  </si>
  <si>
    <t>240930</t>
  </si>
  <si>
    <t>240927</t>
  </si>
  <si>
    <t>240926</t>
  </si>
  <si>
    <t>240925</t>
  </si>
  <si>
    <t>240924</t>
  </si>
  <si>
    <t>240923</t>
  </si>
  <si>
    <t>240920</t>
  </si>
  <si>
    <t>240919</t>
  </si>
  <si>
    <t>240918</t>
  </si>
  <si>
    <t>240913</t>
  </si>
  <si>
    <t>240912</t>
  </si>
  <si>
    <t>240911</t>
  </si>
  <si>
    <t>240910</t>
  </si>
  <si>
    <t>240909</t>
  </si>
  <si>
    <t>240906</t>
  </si>
  <si>
    <t>240905</t>
  </si>
  <si>
    <t>240904</t>
  </si>
  <si>
    <t>240903</t>
  </si>
  <si>
    <t>240902</t>
  </si>
  <si>
    <t>240830</t>
  </si>
  <si>
    <t>240829</t>
  </si>
  <si>
    <t>240828</t>
  </si>
  <si>
    <t>240827</t>
  </si>
  <si>
    <t>240826</t>
  </si>
  <si>
    <t>240823</t>
  </si>
  <si>
    <t>240822</t>
  </si>
  <si>
    <t>240821</t>
  </si>
  <si>
    <t>240820</t>
  </si>
  <si>
    <t>240819</t>
  </si>
  <si>
    <t>240816</t>
  </si>
  <si>
    <t>收盘</t>
  </si>
  <si>
    <t>埃尔德</t>
  </si>
  <si>
    <t>red</t>
  </si>
  <si>
    <t>blue</t>
  </si>
  <si>
    <t>green</t>
  </si>
  <si>
    <t>涨跌幅</t>
  </si>
  <si>
    <t>60日涨跌幅</t>
  </si>
  <si>
    <t>120日涨跌幅</t>
  </si>
  <si>
    <t>市值交换率(p)</t>
  </si>
  <si>
    <t>成交额(亿元)</t>
  </si>
  <si>
    <t>获利比(加权)</t>
  </si>
  <si>
    <t>获利比(sh)</t>
  </si>
  <si>
    <t>顶底获利差(加权)</t>
  </si>
  <si>
    <t>主力仓位</t>
  </si>
  <si>
    <t>下影线数</t>
  </si>
  <si>
    <t>主力建仓数</t>
  </si>
  <si>
    <t>主力建仓(avg)</t>
  </si>
  <si>
    <t>下影线数120d(avg)</t>
  </si>
  <si>
    <t>新低数120d(avg)</t>
  </si>
  <si>
    <t>新低数60d</t>
  </si>
  <si>
    <t>新低数60d(zz500)</t>
  </si>
  <si>
    <t>主力拉高数</t>
  </si>
  <si>
    <t>新高数120d(avg)</t>
  </si>
  <si>
    <t>新高数60d</t>
  </si>
  <si>
    <t>新高数60d(zz500)</t>
  </si>
  <si>
    <t>升息概率</t>
  </si>
  <si>
    <t>人民币</t>
  </si>
  <si>
    <t>人民币涨跌幅</t>
  </si>
  <si>
    <t>人民币20日涨跌幅</t>
  </si>
  <si>
    <t>奇货股指(qhkch)</t>
  </si>
  <si>
    <t>股指持仓市值(亿)</t>
  </si>
  <si>
    <t>多空比</t>
  </si>
  <si>
    <t>多空差(亿)</t>
  </si>
  <si>
    <t>累计净多单</t>
  </si>
  <si>
    <t>当月净多单</t>
  </si>
  <si>
    <t>沪深300累计多单</t>
  </si>
  <si>
    <t>沪深300当月多单</t>
  </si>
  <si>
    <t>当月净空单</t>
  </si>
  <si>
    <t>累计净空单</t>
  </si>
  <si>
    <t>沪深300累计空单</t>
  </si>
  <si>
    <t>沪深300当月空单</t>
  </si>
  <si>
    <t>今日买报：</t>
  </si>
  <si>
    <t>今日卖报：获利比(加权):87.66%&gt;=0.823;主力拉高数:787.0&gt;=213.0;新高数120d(avg):3727.0&gt;=1165.963;新高数60d:4061.0&gt;=661.0;新高数60d(zz500):409.0&gt;=71.0</t>
  </si>
  <si>
    <t>241003</t>
  </si>
  <si>
    <t>241002</t>
  </si>
  <si>
    <t>241001</t>
  </si>
  <si>
    <t>240917</t>
  </si>
  <si>
    <t>240916</t>
  </si>
  <si>
    <t>sh:EIDE</t>
  </si>
  <si>
    <t>sh:RNG60</t>
  </si>
  <si>
    <t>sh:RNG120</t>
  </si>
  <si>
    <t>sh:RS3</t>
  </si>
  <si>
    <t>kc:EIDE</t>
  </si>
  <si>
    <t>kc:RNG60</t>
  </si>
  <si>
    <t>kc:RNG120</t>
  </si>
  <si>
    <t>kc:RS5</t>
  </si>
  <si>
    <t>cy:EIDE</t>
  </si>
  <si>
    <t>cy:RNG60</t>
  </si>
  <si>
    <t>cy:RNG120</t>
  </si>
  <si>
    <t>cy:RS3</t>
  </si>
  <si>
    <t>hk50:EIDE</t>
  </si>
  <si>
    <t>hk50:RNG60</t>
  </si>
  <si>
    <t>hk50:RNG120</t>
  </si>
  <si>
    <t>hk50:RS4</t>
  </si>
  <si>
    <t>us500:EIDE</t>
  </si>
  <si>
    <t>us500:RNG60</t>
  </si>
  <si>
    <t>us500:RNG120</t>
  </si>
  <si>
    <t>us500:RS2</t>
  </si>
  <si>
    <t>us30:EIDE</t>
  </si>
  <si>
    <t>us30:RNG60</t>
  </si>
  <si>
    <t>us30:RNG120</t>
  </si>
  <si>
    <t>us30:RS3</t>
  </si>
  <si>
    <t>ixic:EIDE</t>
  </si>
  <si>
    <t>ixic:RNG60</t>
  </si>
  <si>
    <t>ixic:RNG120</t>
  </si>
  <si>
    <t>ixic:RS2</t>
  </si>
  <si>
    <t>jp225:EIDE</t>
  </si>
  <si>
    <t>jp225:RNG60</t>
  </si>
  <si>
    <t>jp225:RNG120</t>
  </si>
  <si>
    <t>jp225:RS9</t>
  </si>
  <si>
    <t>vn:EIDE</t>
  </si>
  <si>
    <t>vn:RNG60</t>
  </si>
  <si>
    <t>vn:RNG120</t>
  </si>
  <si>
    <t>vn:RS3</t>
  </si>
  <si>
    <t>sensex:EIDE</t>
  </si>
  <si>
    <t>sensex:RNG60</t>
  </si>
  <si>
    <t>sensex:RNG120</t>
  </si>
  <si>
    <t>sensex:RS10</t>
  </si>
  <si>
    <t>fr40:EIDE</t>
  </si>
  <si>
    <t>fr40:RNG60</t>
  </si>
  <si>
    <t>fr40:RNG120</t>
  </si>
  <si>
    <t>fr40:RS5</t>
  </si>
  <si>
    <t>dax30:EIDE</t>
  </si>
  <si>
    <t>dax30:RNG60</t>
  </si>
  <si>
    <t>dax30:RNG120</t>
  </si>
  <si>
    <t>dax30:RS6</t>
  </si>
  <si>
    <t>今日买报：ixic:RS2:21.97&lt;=38;vn:RS3:23.23&lt;=25;sensex:RS10:38.91&lt;=39</t>
  </si>
  <si>
    <t>今日卖报：sh:RNG60:12.81&gt;=10;sh:RS3:99.75&gt;=66;kc:RNG60:26.36&gt;=25;kc:RS5:96.84&gt;=65;cy:RNG60:32.05&gt;=25;cy:RS3:99.48&gt;=93;hk50:RNG60:26.19&gt;=15;hk50:RNG120:31.41&gt;=25;hk50:RS4:85.84&gt;=73</t>
  </si>
  <si>
    <t>col_name</t>
  </si>
  <si>
    <t>title_name</t>
  </si>
  <si>
    <t>unit</t>
  </si>
  <si>
    <t>start_color</t>
  </si>
  <si>
    <t>end_color</t>
  </si>
  <si>
    <t>limit_buy</t>
  </si>
  <si>
    <t>limit_sell</t>
  </si>
  <si>
    <t>date</t>
  </si>
  <si>
    <t>IDXC</t>
  </si>
  <si>
    <t>F8544C</t>
  </si>
  <si>
    <t>9AE854</t>
  </si>
  <si>
    <t>EIDE</t>
  </si>
  <si>
    <t>RNG</t>
  </si>
  <si>
    <t>RNG60</t>
  </si>
  <si>
    <t>RNG120</t>
  </si>
  <si>
    <t>turn_value</t>
  </si>
  <si>
    <t>&lt;=0.787</t>
  </si>
  <si>
    <t>&gt;=3.564</t>
  </si>
  <si>
    <t>amounts</t>
  </si>
  <si>
    <t>winner_x</t>
  </si>
  <si>
    <t>%</t>
  </si>
  <si>
    <t>&lt;=0.062</t>
  </si>
  <si>
    <t>&gt;=0.823</t>
  </si>
  <si>
    <t>winner_y</t>
  </si>
  <si>
    <t>&lt;=0.027</t>
  </si>
  <si>
    <t>&gt;=1.0</t>
  </si>
  <si>
    <t>win_high_low</t>
  </si>
  <si>
    <t>&lt;=-0.101</t>
  </si>
  <si>
    <t>&gt;=0.204</t>
  </si>
  <si>
    <t>MAIN_STOCK</t>
  </si>
  <si>
    <t>&gt;=101.741</t>
  </si>
  <si>
    <t>&lt;=-2.997</t>
  </si>
  <si>
    <t>shadow_cnt</t>
  </si>
  <si>
    <t>&gt;=633.0</t>
  </si>
  <si>
    <t>main</t>
  </si>
  <si>
    <t>&gt;=118.0</t>
  </si>
  <si>
    <t>main_create</t>
  </si>
  <si>
    <t>&gt;=308.519</t>
  </si>
  <si>
    <t>shadow</t>
  </si>
  <si>
    <t>&gt;=6548.767</t>
  </si>
  <si>
    <t>min_price</t>
  </si>
  <si>
    <t>&gt;=1805.578</t>
  </si>
  <si>
    <t>low60a</t>
  </si>
  <si>
    <t>&gt;=2542.0</t>
  </si>
  <si>
    <t>low60ic</t>
  </si>
  <si>
    <t>&gt;=381.0</t>
  </si>
  <si>
    <t>pull_cnt</t>
  </si>
  <si>
    <t>&gt;=213.0</t>
  </si>
  <si>
    <t>max_price</t>
  </si>
  <si>
    <t>&gt;=1165.963</t>
  </si>
  <si>
    <t>high60a</t>
  </si>
  <si>
    <t>&gt;=661.0</t>
  </si>
  <si>
    <t>high60ic</t>
  </si>
  <si>
    <t>&gt;=71.0</t>
  </si>
  <si>
    <t>up_per</t>
  </si>
  <si>
    <t>&gt;=100.0</t>
  </si>
  <si>
    <t>close_rmb</t>
  </si>
  <si>
    <t>&lt;=6.354</t>
  </si>
  <si>
    <t>rng_rmb</t>
  </si>
  <si>
    <t>rng20_rmb</t>
  </si>
  <si>
    <t>fut_idx</t>
  </si>
  <si>
    <t>pos_value</t>
  </si>
  <si>
    <t>long_short_ratio</t>
  </si>
  <si>
    <t>long_short_val</t>
  </si>
  <si>
    <t>net_buy_a</t>
  </si>
  <si>
    <t>net_buy_n</t>
  </si>
  <si>
    <t>if_net_buy_a</t>
  </si>
  <si>
    <t>if_net_buy_n</t>
  </si>
  <si>
    <t>net_ss_n</t>
  </si>
  <si>
    <t>net_ss_a</t>
  </si>
  <si>
    <t>if_net_ss_a</t>
  </si>
  <si>
    <t>if_net_ss_n</t>
  </si>
  <si>
    <t>&lt;=-10</t>
  </si>
  <si>
    <t>&gt;=10</t>
  </si>
  <si>
    <t>&lt;=-20</t>
  </si>
  <si>
    <t>&gt;=20</t>
  </si>
  <si>
    <t>sh:RSI</t>
  </si>
  <si>
    <t>&lt;=-30</t>
  </si>
  <si>
    <t>&gt;=25</t>
  </si>
  <si>
    <t>&lt;=-35</t>
  </si>
  <si>
    <t>&gt;=30</t>
  </si>
  <si>
    <t>kc:RSI</t>
  </si>
  <si>
    <t>&gt;=40</t>
  </si>
  <si>
    <t>cy:RSI</t>
  </si>
  <si>
    <t>&gt;=15</t>
  </si>
  <si>
    <t>hk50:RSI</t>
  </si>
  <si>
    <t>&lt;=-15</t>
  </si>
  <si>
    <t>us500:RSI</t>
  </si>
  <si>
    <t>us30:RSI</t>
  </si>
  <si>
    <t>ixic:RSI</t>
  </si>
  <si>
    <t>jp225:RSI</t>
  </si>
  <si>
    <t>vn:RSI</t>
  </si>
  <si>
    <t>sensex:RSI</t>
  </si>
  <si>
    <t>fr40:RSI</t>
  </si>
  <si>
    <t>dax30:RSI</t>
  </si>
  <si>
    <t>symbol</t>
  </si>
  <si>
    <t>symbol_name</t>
  </si>
  <si>
    <t>begin_date</t>
  </si>
  <si>
    <t>end_date</t>
  </si>
  <si>
    <t>rsi_d</t>
  </si>
  <si>
    <t>rsi_buy</t>
  </si>
  <si>
    <t>rsi_sell</t>
  </si>
  <si>
    <t>max_return</t>
  </si>
  <si>
    <t>ind_return</t>
  </si>
  <si>
    <t>year_return</t>
  </si>
  <si>
    <t>sh000001</t>
  </si>
  <si>
    <t>上证</t>
  </si>
  <si>
    <t>hk50</t>
  </si>
  <si>
    <t>恒生</t>
  </si>
  <si>
    <t>us500</t>
  </si>
  <si>
    <t>标普500</t>
  </si>
  <si>
    <t>ixic</t>
  </si>
  <si>
    <t>纳指</t>
  </si>
  <si>
    <t>dax30</t>
  </si>
  <si>
    <t>德国</t>
  </si>
  <si>
    <t>jp225</t>
  </si>
  <si>
    <t>日经</t>
  </si>
  <si>
    <t>fr40</t>
  </si>
  <si>
    <t>法国</t>
  </si>
  <si>
    <t>sensex</t>
  </si>
  <si>
    <t>印度</t>
  </si>
  <si>
    <t>sh000688</t>
  </si>
  <si>
    <t>科创</t>
  </si>
  <si>
    <t>sz399006</t>
  </si>
  <si>
    <t>创业板</t>
  </si>
  <si>
    <t>单位或小数位</t>
  </si>
  <si>
    <t>备注</t>
  </si>
  <si>
    <t>重点</t>
  </si>
  <si>
    <t>FF0000</t>
  </si>
  <si>
    <t>00FF00</t>
  </si>
  <si>
    <t>红色</t>
  </si>
  <si>
    <t>绿色</t>
  </si>
  <si>
    <t>sh:RSI1</t>
  </si>
  <si>
    <t>参数由回测程序查找最优值</t>
  </si>
  <si>
    <t>sh:RSI2</t>
  </si>
  <si>
    <t>生成于回测目录下record.xlsx，手工维护到表格rsi</t>
  </si>
  <si>
    <t>cir_values</t>
  </si>
  <si>
    <t>流通市值(万亿)</t>
  </si>
  <si>
    <t>cir_cnts</t>
  </si>
  <si>
    <t>流通数</t>
  </si>
  <si>
    <t>成交额除以流通市值的百分比</t>
  </si>
  <si>
    <t>kc:RSI1</t>
  </si>
  <si>
    <t>vols</t>
  </si>
  <si>
    <t>成交量(万)</t>
  </si>
  <si>
    <t>kc:RSI2</t>
  </si>
  <si>
    <t>卖出信号</t>
  </si>
  <si>
    <t>60日新低下影线，越大越好（加仓）</t>
  </si>
  <si>
    <t>主力进场数</t>
  </si>
  <si>
    <t>cy:RSI1</t>
  </si>
  <si>
    <t>MAIN_IN</t>
  </si>
  <si>
    <t>主力进场</t>
  </si>
  <si>
    <t>cy:RSI2</t>
  </si>
  <si>
    <t>MAIN_WASH</t>
  </si>
  <si>
    <t>主力清洗</t>
  </si>
  <si>
    <t>顶底筹码获利比之差(加权)</t>
  </si>
  <si>
    <t>有效性有待再验证，如2019年8月</t>
  </si>
  <si>
    <t>越小越好（加仓）</t>
  </si>
  <si>
    <t>winPeak_x</t>
  </si>
  <si>
    <t>筹码峰获利比(加权)</t>
  </si>
  <si>
    <t>收盘价较筹码峰涨跌(加权)</t>
  </si>
  <si>
    <t>hk50:RSI1</t>
  </si>
  <si>
    <t>peakRng</t>
  </si>
  <si>
    <t>筹码峰日涨跌(加权)</t>
  </si>
  <si>
    <t>hk50:RSI2</t>
  </si>
  <si>
    <t>winLow30_x</t>
  </si>
  <si>
    <t>底部30%获利比(加权)</t>
  </si>
  <si>
    <t>winHigh30_x</t>
  </si>
  <si>
    <t>顶部30%获利比(加权)</t>
  </si>
  <si>
    <t>winLow20_x</t>
  </si>
  <si>
    <t>底部20%获利比(加权)</t>
  </si>
  <si>
    <t>winHigh20_x</t>
  </si>
  <si>
    <t>顶部20%获利比(加权)</t>
  </si>
  <si>
    <t>us500:RSI1</t>
  </si>
  <si>
    <t>skew_x</t>
  </si>
  <si>
    <t>偏度(加权)</t>
  </si>
  <si>
    <t>偏度为正时，表示数据分布的右边/顶部部分更长、更尖；而当偏度为负时，则表示数据分布的左边、底部部分更长、更尖</t>
  </si>
  <si>
    <t>越小越好</t>
  </si>
  <si>
    <t>us500:RSI2</t>
  </si>
  <si>
    <t>kurtosis_x</t>
  </si>
  <si>
    <t>峰度(加权)</t>
  </si>
  <si>
    <t>正态分布的峰度为3，当峰度大于3时，表示该分布比正态分布更陡峭，而当峰度小于3时，则表示该分布比正态分布更平缓</t>
  </si>
  <si>
    <t>看背离：指数新低，峰度上升</t>
  </si>
  <si>
    <t>us30:RSI1</t>
  </si>
  <si>
    <t>us30:RSI2</t>
  </si>
  <si>
    <t>rng5_rmb</t>
  </si>
  <si>
    <t>人民币5日涨跌幅</t>
  </si>
  <si>
    <t>ixic:RSI1</t>
  </si>
  <si>
    <t>rng60_rmb</t>
  </si>
  <si>
    <t>人民币60日涨跌幅</t>
  </si>
  <si>
    <t>ixic:RSI2</t>
  </si>
  <si>
    <t>北向交易额</t>
  </si>
  <si>
    <t>北向交易量</t>
  </si>
  <si>
    <t>jp225:RSI1</t>
  </si>
  <si>
    <t>jp225:RSI2</t>
  </si>
  <si>
    <t>fut_vol</t>
  </si>
  <si>
    <t>股指成交量</t>
  </si>
  <si>
    <t>pos_cnt</t>
  </si>
  <si>
    <t>股指持仓量</t>
  </si>
  <si>
    <t>vn:RSI1</t>
  </si>
  <si>
    <t>vn:RSI2</t>
  </si>
  <si>
    <t>im_net_ss_n</t>
  </si>
  <si>
    <t>中证1000当月空单</t>
  </si>
  <si>
    <t>im_net_buy_n</t>
  </si>
  <si>
    <t>中证1000当月多单</t>
  </si>
  <si>
    <t>sensex:RSI1</t>
  </si>
  <si>
    <t>sensex:RSI2</t>
  </si>
  <si>
    <t>ic_net_ss_n</t>
  </si>
  <si>
    <t>中证500当月空单</t>
  </si>
  <si>
    <t>ic_net_buy_n</t>
  </si>
  <si>
    <t>中证500当月多单</t>
  </si>
  <si>
    <t>ih_net_ss_n</t>
  </si>
  <si>
    <t>上证50当月空单</t>
  </si>
  <si>
    <t>fr40:RSI1</t>
  </si>
  <si>
    <t>ih_net_buy_n</t>
  </si>
  <si>
    <t>上证50当月多单</t>
  </si>
  <si>
    <t>fr40:RSI2</t>
  </si>
  <si>
    <t>im_net_ss_a</t>
  </si>
  <si>
    <t>中证1000累计空单</t>
  </si>
  <si>
    <t>im_net_buy_a</t>
  </si>
  <si>
    <t>中证1000累计多单</t>
  </si>
  <si>
    <t>dax30:RSI1</t>
  </si>
  <si>
    <t>ic_net_ss_a</t>
  </si>
  <si>
    <t>中证500累计空单</t>
  </si>
  <si>
    <t>dax30:RSI2</t>
  </si>
  <si>
    <t>ic_net_buy_a</t>
  </si>
  <si>
    <t>中证500累计多单</t>
  </si>
  <si>
    <t>ih_net_ss_a</t>
  </si>
  <si>
    <t>上证50累计空单</t>
  </si>
  <si>
    <t>ih_net_buy_a</t>
  </si>
  <si>
    <t>上证50累计多单</t>
  </si>
  <si>
    <t>winPeak_y</t>
  </si>
  <si>
    <t>筹码峰获利比(sh)</t>
  </si>
  <si>
    <t>winLow30_y</t>
  </si>
  <si>
    <t>底部30%获利比(sh)</t>
  </si>
  <si>
    <t>winHigh30_y</t>
  </si>
  <si>
    <t>顶部30%获利比(sh)</t>
  </si>
  <si>
    <t>winLow20_y</t>
  </si>
  <si>
    <t>底部20%获利比(sh)</t>
  </si>
  <si>
    <t>winHigh20_y</t>
  </si>
  <si>
    <t>顶部20%获利比(sh)</t>
  </si>
  <si>
    <t>pricePeak</t>
  </si>
  <si>
    <t>筹码峰价格(sh)</t>
  </si>
  <si>
    <t>skew_y</t>
  </si>
  <si>
    <t>偏度(sh)</t>
  </si>
  <si>
    <t>kurtosis_y</t>
  </si>
  <si>
    <t>峰度(sh)</t>
  </si>
</sst>
</file>

<file path=xl/styles.xml><?xml version="1.0" encoding="utf-8"?>
<styleSheet xmlns="http://schemas.openxmlformats.org/spreadsheetml/2006/main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0_);[Red]\(0.00\)"/>
    <numFmt numFmtId="179" formatCode="0.0%"/>
    <numFmt numFmtId="180" formatCode="0.0_ "/>
  </numFmts>
  <fonts count="25"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>
      <alignment vertical="center"/>
    </xf>
    <xf numFmtId="0" fontId="6" fillId="15" borderId="0">
      <alignment vertical="center"/>
    </xf>
    <xf numFmtId="0" fontId="7" fillId="16" borderId="3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6" fillId="17" borderId="0">
      <alignment vertical="center"/>
    </xf>
    <xf numFmtId="0" fontId="8" fillId="18" borderId="0">
      <alignment vertical="center"/>
    </xf>
    <xf numFmtId="43" fontId="0" fillId="0" borderId="0">
      <alignment vertical="center"/>
    </xf>
    <xf numFmtId="0" fontId="9" fillId="19" borderId="0">
      <alignment vertical="center"/>
    </xf>
    <xf numFmtId="0" fontId="10" fillId="0" borderId="0">
      <alignment vertical="center"/>
    </xf>
    <xf numFmtId="9" fontId="0" fillId="0" borderId="0">
      <alignment vertical="center"/>
    </xf>
    <xf numFmtId="0" fontId="11" fillId="0" borderId="0">
      <alignment vertical="center"/>
    </xf>
    <xf numFmtId="0" fontId="0" fillId="20" borderId="4">
      <alignment vertical="center"/>
    </xf>
    <xf numFmtId="0" fontId="9" fillId="21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5">
      <alignment vertical="center"/>
    </xf>
    <xf numFmtId="0" fontId="17" fillId="0" borderId="5">
      <alignment vertical="center"/>
    </xf>
    <xf numFmtId="0" fontId="9" fillId="22" borderId="0">
      <alignment vertical="center"/>
    </xf>
    <xf numFmtId="0" fontId="12" fillId="0" borderId="6">
      <alignment vertical="center"/>
    </xf>
    <xf numFmtId="0" fontId="9" fillId="23" borderId="0">
      <alignment vertical="center"/>
    </xf>
    <xf numFmtId="0" fontId="18" fillId="24" borderId="7">
      <alignment vertical="center"/>
    </xf>
    <xf numFmtId="0" fontId="19" fillId="24" borderId="3">
      <alignment vertical="center"/>
    </xf>
    <xf numFmtId="0" fontId="20" fillId="25" borderId="8">
      <alignment vertical="center"/>
    </xf>
    <xf numFmtId="0" fontId="6" fillId="26" borderId="0">
      <alignment vertical="center"/>
    </xf>
    <xf numFmtId="0" fontId="9" fillId="10" borderId="0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6" fillId="29" borderId="0">
      <alignment vertical="center"/>
    </xf>
    <xf numFmtId="0" fontId="9" fillId="30" borderId="0">
      <alignment vertical="center"/>
    </xf>
    <xf numFmtId="0" fontId="6" fillId="31" borderId="0">
      <alignment vertical="center"/>
    </xf>
    <xf numFmtId="0" fontId="6" fillId="32" borderId="0">
      <alignment vertical="center"/>
    </xf>
    <xf numFmtId="0" fontId="6" fillId="33" borderId="0">
      <alignment vertical="center"/>
    </xf>
    <xf numFmtId="0" fontId="6" fillId="34" borderId="0">
      <alignment vertical="center"/>
    </xf>
    <xf numFmtId="0" fontId="9" fillId="35" borderId="0">
      <alignment vertical="center"/>
    </xf>
    <xf numFmtId="0" fontId="9" fillId="36" borderId="0">
      <alignment vertical="center"/>
    </xf>
    <xf numFmtId="0" fontId="6" fillId="37" borderId="0">
      <alignment vertical="center"/>
    </xf>
    <xf numFmtId="0" fontId="6" fillId="38" borderId="0">
      <alignment vertical="center"/>
    </xf>
    <xf numFmtId="0" fontId="9" fillId="39" borderId="0">
      <alignment vertical="center"/>
    </xf>
    <xf numFmtId="0" fontId="6" fillId="40" borderId="0">
      <alignment vertical="center"/>
    </xf>
    <xf numFmtId="0" fontId="9" fillId="41" borderId="0">
      <alignment vertical="center"/>
    </xf>
    <xf numFmtId="0" fontId="9" fillId="42" borderId="0">
      <alignment vertical="center"/>
    </xf>
    <xf numFmtId="0" fontId="6" fillId="43" borderId="0">
      <alignment vertical="center"/>
    </xf>
    <xf numFmtId="0" fontId="9" fillId="44" borderId="0">
      <alignment vertical="center"/>
    </xf>
  </cellStyleXfs>
  <cellXfs count="73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4" borderId="1" xfId="0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178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/>
    </xf>
    <xf numFmtId="14" fontId="0" fillId="9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2" fillId="9" borderId="1" xfId="11" applyNumberFormat="1" applyFont="1" applyFill="1" applyBorder="1" applyAlignment="1">
      <alignment horizontal="center" vertical="center"/>
    </xf>
    <xf numFmtId="179" fontId="0" fillId="9" borderId="1" xfId="11" applyNumberFormat="1" applyFill="1" applyBorder="1" applyAlignment="1">
      <alignment horizontal="center" vertical="center"/>
    </xf>
    <xf numFmtId="179" fontId="0" fillId="0" borderId="1" xfId="11" applyNumberForma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/>
    <xf numFmtId="0" fontId="5" fillId="0" borderId="2" xfId="0" applyFont="1" applyBorder="1" applyAlignment="1"/>
    <xf numFmtId="0" fontId="5" fillId="0" borderId="2" xfId="0" applyFont="1" applyBorder="1" applyAlignment="1">
      <alignment horizontal="center"/>
    </xf>
    <xf numFmtId="0" fontId="0" fillId="12" borderId="2" xfId="0" applyFill="1" applyBorder="1" applyAlignment="1"/>
    <xf numFmtId="0" fontId="5" fillId="13" borderId="2" xfId="0" applyFont="1" applyFill="1" applyBorder="1" applyAlignment="1"/>
    <xf numFmtId="0" fontId="0" fillId="0" borderId="2" xfId="0" applyBorder="1" applyAlignment="1"/>
    <xf numFmtId="0" fontId="0" fillId="14" borderId="2" xfId="0" applyFill="1" applyBorder="1" applyAlignment="1"/>
    <xf numFmtId="0" fontId="5" fillId="12" borderId="2" xfId="0" applyFont="1" applyFill="1" applyBorder="1" applyAlignment="1"/>
    <xf numFmtId="0" fontId="0" fillId="13" borderId="2" xfId="0" applyFill="1" applyBorder="1" applyAlignment="1"/>
    <xf numFmtId="0" fontId="5" fillId="0" borderId="0" xfId="0" applyFont="1" applyAlignment="1"/>
    <xf numFmtId="0" fontId="0" fillId="0" borderId="2" xfId="0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5" fillId="0" borderId="2" xfId="0" applyFont="1" applyBorder="1" applyAlignment="1">
      <alignment vertical="center"/>
    </xf>
    <xf numFmtId="10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2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2" xfId="11" applyNumberFormat="1" applyBorder="1" applyAlignment="1">
      <alignment vertical="center"/>
    </xf>
    <xf numFmtId="180" fontId="0" fillId="0" borderId="2" xfId="0" applyNumberFormat="1" applyBorder="1" applyAlignment="1">
      <alignment horizontal="center"/>
    </xf>
    <xf numFmtId="0" fontId="0" fillId="13" borderId="2" xfId="0" applyFill="1" applyBorder="1" applyAlignment="1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42"/>
  <sheetViews>
    <sheetView tabSelected="1" zoomScale="70" zoomScaleNormal="70" topLeftCell="A12" workbookViewId="0">
      <selection activeCell="C27" sqref="C27"/>
    </sheetView>
  </sheetViews>
  <sheetFormatPr defaultColWidth="9" defaultRowHeight="14.4"/>
  <cols>
    <col min="1" max="1" width="19.3425925925926" style="2" customWidth="1"/>
    <col min="2" max="31" width="7.57407407407407" style="28" customWidth="1"/>
  </cols>
  <sheetData>
    <row r="1" spans="1:31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  <c r="AC1" s="53" t="s">
        <v>28</v>
      </c>
      <c r="AD1" s="53" t="s">
        <v>29</v>
      </c>
      <c r="AE1" s="53" t="s">
        <v>30</v>
      </c>
    </row>
    <row r="2" spans="1:31">
      <c r="A2" s="52" t="s">
        <v>31</v>
      </c>
      <c r="B2" s="61">
        <v>3336.5</v>
      </c>
      <c r="C2" s="61">
        <v>3087.53</v>
      </c>
      <c r="D2" s="61">
        <v>3000.95</v>
      </c>
      <c r="E2" s="61">
        <v>2896.31</v>
      </c>
      <c r="F2" s="61">
        <v>2863.13</v>
      </c>
      <c r="G2" s="61">
        <v>2748.92</v>
      </c>
      <c r="H2" s="61">
        <v>2736.81</v>
      </c>
      <c r="I2" s="61">
        <v>2736.02</v>
      </c>
      <c r="J2" s="61">
        <v>2717.28</v>
      </c>
      <c r="K2" s="61">
        <v>2704.09</v>
      </c>
      <c r="L2" s="61">
        <v>2717.12</v>
      </c>
      <c r="M2" s="61">
        <v>2721.8</v>
      </c>
      <c r="N2" s="61">
        <v>2744.19</v>
      </c>
      <c r="O2" s="61">
        <v>2736.49</v>
      </c>
      <c r="P2" s="61">
        <v>2765.81</v>
      </c>
      <c r="Q2" s="61">
        <v>2788.31</v>
      </c>
      <c r="R2" s="61">
        <v>2784.28</v>
      </c>
      <c r="S2" s="61">
        <v>2802.98</v>
      </c>
      <c r="T2" s="61">
        <v>2811.03</v>
      </c>
      <c r="U2" s="61">
        <v>2842.21</v>
      </c>
      <c r="V2" s="61">
        <v>2823.11</v>
      </c>
      <c r="W2" s="61">
        <v>2837.43</v>
      </c>
      <c r="X2" s="61">
        <v>2848.73</v>
      </c>
      <c r="Y2" s="61">
        <v>2855.52</v>
      </c>
      <c r="Z2" s="61">
        <v>2854.37</v>
      </c>
      <c r="AA2" s="61">
        <v>2848.77</v>
      </c>
      <c r="AB2" s="61">
        <v>2856.58</v>
      </c>
      <c r="AC2" s="61">
        <v>2866.66</v>
      </c>
      <c r="AD2" s="61">
        <v>2893.67</v>
      </c>
      <c r="AE2" s="61">
        <v>2879.43</v>
      </c>
    </row>
    <row r="3" spans="1:31">
      <c r="A3" s="52" t="s">
        <v>32</v>
      </c>
      <c r="B3" s="62" t="s">
        <v>33</v>
      </c>
      <c r="C3" s="62" t="s">
        <v>33</v>
      </c>
      <c r="D3" s="62" t="s">
        <v>33</v>
      </c>
      <c r="E3" s="62" t="s">
        <v>33</v>
      </c>
      <c r="F3" s="62" t="s">
        <v>33</v>
      </c>
      <c r="G3" s="63" t="s">
        <v>34</v>
      </c>
      <c r="H3" s="63" t="s">
        <v>34</v>
      </c>
      <c r="I3" s="63" t="s">
        <v>34</v>
      </c>
      <c r="J3" s="63" t="s">
        <v>34</v>
      </c>
      <c r="K3" s="72" t="s">
        <v>35</v>
      </c>
      <c r="L3" s="72" t="s">
        <v>35</v>
      </c>
      <c r="M3" s="72" t="s">
        <v>35</v>
      </c>
      <c r="N3" s="72" t="s">
        <v>35</v>
      </c>
      <c r="O3" s="72" t="s">
        <v>35</v>
      </c>
      <c r="P3" s="72" t="s">
        <v>35</v>
      </c>
      <c r="Q3" s="72" t="s">
        <v>35</v>
      </c>
      <c r="R3" s="72" t="s">
        <v>35</v>
      </c>
      <c r="S3" s="72" t="s">
        <v>35</v>
      </c>
      <c r="T3" s="72" t="s">
        <v>35</v>
      </c>
      <c r="U3" s="63" t="s">
        <v>34</v>
      </c>
      <c r="V3" s="72" t="s">
        <v>35</v>
      </c>
      <c r="W3" s="72" t="s">
        <v>35</v>
      </c>
      <c r="X3" s="72" t="s">
        <v>35</v>
      </c>
      <c r="Y3" s="63" t="s">
        <v>34</v>
      </c>
      <c r="Z3" s="72" t="s">
        <v>35</v>
      </c>
      <c r="AA3" s="72" t="s">
        <v>35</v>
      </c>
      <c r="AB3" s="72" t="s">
        <v>35</v>
      </c>
      <c r="AC3" s="72" t="s">
        <v>35</v>
      </c>
      <c r="AD3" s="62" t="s">
        <v>33</v>
      </c>
      <c r="AE3" s="63" t="s">
        <v>34</v>
      </c>
    </row>
    <row r="4" spans="1:31">
      <c r="A4" s="52" t="s">
        <v>36</v>
      </c>
      <c r="B4" s="61">
        <v>8.06</v>
      </c>
      <c r="C4" s="61">
        <v>2.89</v>
      </c>
      <c r="D4" s="61">
        <v>3.61</v>
      </c>
      <c r="E4" s="61">
        <v>1.16</v>
      </c>
      <c r="F4" s="61">
        <v>4.15</v>
      </c>
      <c r="G4" s="61">
        <v>0.44</v>
      </c>
      <c r="H4" s="61">
        <v>0.03</v>
      </c>
      <c r="I4" s="61">
        <v>0.69</v>
      </c>
      <c r="J4" s="61">
        <v>0.49</v>
      </c>
      <c r="K4" s="61">
        <v>-0.48</v>
      </c>
      <c r="L4" s="61">
        <v>-0.17</v>
      </c>
      <c r="M4" s="61">
        <v>-0.82</v>
      </c>
      <c r="N4" s="61">
        <v>0.28</v>
      </c>
      <c r="O4" s="61">
        <v>-1.06</v>
      </c>
      <c r="P4" s="61">
        <v>-0.81</v>
      </c>
      <c r="Q4" s="61">
        <v>0.14</v>
      </c>
      <c r="R4" s="61">
        <v>-0.67</v>
      </c>
      <c r="S4" s="61">
        <v>-0.29</v>
      </c>
      <c r="T4" s="61">
        <v>-1.1</v>
      </c>
      <c r="U4" s="61">
        <v>0.68</v>
      </c>
      <c r="V4" s="61">
        <v>-0.5</v>
      </c>
      <c r="W4" s="61">
        <v>-0.4</v>
      </c>
      <c r="X4" s="61">
        <v>-0.24</v>
      </c>
      <c r="Y4" s="61">
        <v>0.04</v>
      </c>
      <c r="Z4" s="61">
        <v>0.2</v>
      </c>
      <c r="AA4" s="61">
        <v>-0.27</v>
      </c>
      <c r="AB4" s="61">
        <v>-0.35</v>
      </c>
      <c r="AC4" s="61">
        <v>-0.93</v>
      </c>
      <c r="AD4" s="61">
        <v>0.49</v>
      </c>
      <c r="AE4" s="61">
        <v>0.07</v>
      </c>
    </row>
    <row r="5" spans="1:31">
      <c r="A5" s="52" t="s">
        <v>37</v>
      </c>
      <c r="B5" s="61">
        <v>12.81</v>
      </c>
      <c r="C5" s="61">
        <v>3.53</v>
      </c>
      <c r="D5" s="61">
        <v>0.13</v>
      </c>
      <c r="E5" s="61">
        <v>-3.29</v>
      </c>
      <c r="F5" s="61">
        <v>-3.51</v>
      </c>
      <c r="G5" s="61">
        <v>-6.68</v>
      </c>
      <c r="H5" s="61">
        <v>-7.93</v>
      </c>
      <c r="I5" s="61">
        <v>-7.25</v>
      </c>
      <c r="J5" s="61">
        <v>-8.3</v>
      </c>
      <c r="K5" s="61">
        <v>-9.81</v>
      </c>
      <c r="L5" s="61">
        <v>-9.59</v>
      </c>
      <c r="M5" s="61">
        <v>-9.82</v>
      </c>
      <c r="N5" s="61">
        <v>-9.44</v>
      </c>
      <c r="O5" s="61">
        <v>-9.26</v>
      </c>
      <c r="P5" s="61">
        <v>-8.8</v>
      </c>
      <c r="Q5" s="61">
        <v>-7.94</v>
      </c>
      <c r="R5" s="61">
        <v>-8.34</v>
      </c>
      <c r="S5" s="61">
        <v>-7.43</v>
      </c>
      <c r="T5" s="61">
        <v>-7.87</v>
      </c>
      <c r="U5" s="61">
        <v>-6.78</v>
      </c>
      <c r="V5" s="61">
        <v>-7.9</v>
      </c>
      <c r="W5" s="61">
        <v>-8.21</v>
      </c>
      <c r="X5" s="61">
        <v>-7.46</v>
      </c>
      <c r="Y5" s="61">
        <v>-7.49</v>
      </c>
      <c r="Z5" s="61">
        <v>-7.68</v>
      </c>
      <c r="AA5" s="61">
        <v>-8.43</v>
      </c>
      <c r="AB5" s="61">
        <v>-8.14</v>
      </c>
      <c r="AC5" s="61">
        <v>-8.24</v>
      </c>
      <c r="AD5" s="61">
        <v>-6.32</v>
      </c>
      <c r="AE5" s="61">
        <v>-7.6</v>
      </c>
    </row>
    <row r="6" spans="1:31">
      <c r="A6" s="52" t="s">
        <v>38</v>
      </c>
      <c r="B6" s="61">
        <v>8.71</v>
      </c>
      <c r="C6" s="61">
        <v>0.41</v>
      </c>
      <c r="D6" s="61">
        <v>-2.48</v>
      </c>
      <c r="E6" s="61">
        <v>-4.76</v>
      </c>
      <c r="F6" s="61">
        <v>-4.9</v>
      </c>
      <c r="G6" s="61">
        <v>-8.16</v>
      </c>
      <c r="H6" s="61">
        <v>-9.72</v>
      </c>
      <c r="I6" s="61">
        <v>-9.59</v>
      </c>
      <c r="J6" s="61">
        <v>-10.85</v>
      </c>
      <c r="K6" s="61">
        <v>-12.12</v>
      </c>
      <c r="L6" s="61">
        <v>-11.77</v>
      </c>
      <c r="M6" s="61">
        <v>-11.13</v>
      </c>
      <c r="N6" s="61">
        <v>-11.05</v>
      </c>
      <c r="O6" s="61">
        <v>-10.42</v>
      </c>
      <c r="P6" s="61">
        <v>-8.97</v>
      </c>
      <c r="Q6" s="61">
        <v>-8.39</v>
      </c>
      <c r="R6" s="61">
        <v>-8.89</v>
      </c>
      <c r="S6" s="61">
        <v>-8.65</v>
      </c>
      <c r="T6" s="61">
        <v>-7.71</v>
      </c>
      <c r="U6" s="61">
        <v>-6.12</v>
      </c>
      <c r="V6" s="61">
        <v>-7.13</v>
      </c>
      <c r="W6" s="61">
        <v>-6.9</v>
      </c>
      <c r="X6" s="61">
        <v>-6.27</v>
      </c>
      <c r="Y6" s="61">
        <v>-5.67</v>
      </c>
      <c r="Z6" s="61">
        <v>-5.33</v>
      </c>
      <c r="AA6" s="61">
        <v>-3.69</v>
      </c>
      <c r="AB6" s="61">
        <v>-5.27</v>
      </c>
      <c r="AC6" s="61">
        <v>-3.71</v>
      </c>
      <c r="AD6" s="61">
        <v>-3.7</v>
      </c>
      <c r="AE6" s="61">
        <v>-3.65</v>
      </c>
    </row>
    <row r="7" spans="1:31">
      <c r="A7" s="52" t="s">
        <v>39</v>
      </c>
      <c r="B7" s="61">
        <v>3.45</v>
      </c>
      <c r="C7" s="61">
        <v>2.09</v>
      </c>
      <c r="D7" s="61">
        <v>1.75</v>
      </c>
      <c r="E7" s="61">
        <v>1.8</v>
      </c>
      <c r="F7" s="61">
        <v>1.53</v>
      </c>
      <c r="G7" s="61">
        <v>0.91</v>
      </c>
      <c r="H7" s="61">
        <v>0.95</v>
      </c>
      <c r="I7" s="61">
        <v>1.03</v>
      </c>
      <c r="J7" s="61">
        <v>0.8</v>
      </c>
      <c r="K7" s="61">
        <v>0.88</v>
      </c>
      <c r="L7" s="61">
        <v>0.86</v>
      </c>
      <c r="M7" s="61">
        <v>0.83</v>
      </c>
      <c r="N7" s="61">
        <v>0.87</v>
      </c>
      <c r="O7" s="61">
        <v>0.86</v>
      </c>
      <c r="P7" s="61">
        <v>0.89</v>
      </c>
      <c r="Q7" s="61">
        <v>0.87</v>
      </c>
      <c r="R7" s="61">
        <v>0.91</v>
      </c>
      <c r="S7" s="61">
        <v>0.94</v>
      </c>
      <c r="T7" s="61">
        <v>1.14</v>
      </c>
      <c r="U7" s="61">
        <v>1.4</v>
      </c>
      <c r="V7" s="61">
        <v>0.98</v>
      </c>
      <c r="W7" s="61">
        <v>0.8</v>
      </c>
      <c r="X7" s="61">
        <v>0.82</v>
      </c>
      <c r="Y7" s="61">
        <v>0.84</v>
      </c>
      <c r="Z7" s="61">
        <v>0.82</v>
      </c>
      <c r="AA7" s="61">
        <v>0.88</v>
      </c>
      <c r="AB7" s="61">
        <v>0.81</v>
      </c>
      <c r="AC7" s="61">
        <v>0.89</v>
      </c>
      <c r="AD7" s="61">
        <v>0.9</v>
      </c>
      <c r="AE7" s="61">
        <v>0.93</v>
      </c>
    </row>
    <row r="8" spans="1:31">
      <c r="A8" s="52" t="s">
        <v>40</v>
      </c>
      <c r="B8" s="61">
        <v>25930.37</v>
      </c>
      <c r="C8" s="61">
        <v>14460.05</v>
      </c>
      <c r="D8" s="61">
        <v>11624.35</v>
      </c>
      <c r="E8" s="61">
        <v>11573.71</v>
      </c>
      <c r="F8" s="61">
        <v>9713.43</v>
      </c>
      <c r="G8" s="61">
        <v>5510.02</v>
      </c>
      <c r="H8" s="61">
        <v>5747.48</v>
      </c>
      <c r="I8" s="61">
        <v>6270.01</v>
      </c>
      <c r="J8" s="61">
        <v>4793.28</v>
      </c>
      <c r="K8" s="61">
        <v>5247.59</v>
      </c>
      <c r="L8" s="61">
        <v>5155.67</v>
      </c>
      <c r="M8" s="61">
        <v>4995.56</v>
      </c>
      <c r="N8" s="61">
        <v>5276.48</v>
      </c>
      <c r="O8" s="61">
        <v>5186.37</v>
      </c>
      <c r="P8" s="61">
        <v>5426.32</v>
      </c>
      <c r="Q8" s="61">
        <v>5348.38</v>
      </c>
      <c r="R8" s="61">
        <v>5593.8</v>
      </c>
      <c r="S8" s="61">
        <v>5806.01</v>
      </c>
      <c r="T8" s="61">
        <v>7057.33</v>
      </c>
      <c r="U8" s="61">
        <v>8765.89</v>
      </c>
      <c r="V8" s="61">
        <v>6072.48</v>
      </c>
      <c r="W8" s="61">
        <v>4966.07</v>
      </c>
      <c r="X8" s="61">
        <v>5114.57</v>
      </c>
      <c r="Y8" s="61">
        <v>5265.26</v>
      </c>
      <c r="Z8" s="61">
        <v>5102.25</v>
      </c>
      <c r="AA8" s="61">
        <v>5491.53</v>
      </c>
      <c r="AB8" s="61">
        <v>5095.55</v>
      </c>
      <c r="AC8" s="61">
        <v>5577.82</v>
      </c>
      <c r="AD8" s="61">
        <v>5706.17</v>
      </c>
      <c r="AE8" s="61">
        <v>5911.57</v>
      </c>
    </row>
    <row r="9" spans="1:31">
      <c r="A9" s="55" t="s">
        <v>41</v>
      </c>
      <c r="B9" s="64">
        <v>0.8766</v>
      </c>
      <c r="C9" s="64">
        <v>0.7141</v>
      </c>
      <c r="D9" s="64">
        <v>0.6277</v>
      </c>
      <c r="E9" s="64">
        <v>0.5171</v>
      </c>
      <c r="F9" s="64">
        <v>0.4914</v>
      </c>
      <c r="G9" s="64">
        <v>0.3701</v>
      </c>
      <c r="H9" s="64">
        <v>0.3495</v>
      </c>
      <c r="I9" s="64">
        <v>0.3443</v>
      </c>
      <c r="J9" s="64">
        <v>0.3159</v>
      </c>
      <c r="K9" s="64">
        <v>0.2887</v>
      </c>
      <c r="L9" s="64">
        <v>0.3021</v>
      </c>
      <c r="M9" s="64">
        <v>0.3039</v>
      </c>
      <c r="N9" s="64">
        <v>0.3232</v>
      </c>
      <c r="O9" s="64">
        <v>0.3077</v>
      </c>
      <c r="P9" s="64">
        <v>0.3337</v>
      </c>
      <c r="Q9" s="64">
        <v>0.3651</v>
      </c>
      <c r="R9" s="64">
        <v>0.3567</v>
      </c>
      <c r="S9" s="64">
        <v>0.373</v>
      </c>
      <c r="T9" s="64">
        <v>0.3753</v>
      </c>
      <c r="U9" s="64">
        <v>0.4089</v>
      </c>
      <c r="V9" s="64">
        <v>0.3802</v>
      </c>
      <c r="W9" s="64">
        <v>0.3857</v>
      </c>
      <c r="X9" s="64">
        <v>0.3895</v>
      </c>
      <c r="Y9" s="64">
        <v>0.4025</v>
      </c>
      <c r="Z9" s="64">
        <v>0.399</v>
      </c>
      <c r="AA9" s="64">
        <v>0.3862</v>
      </c>
      <c r="AB9" s="64">
        <v>0.3914</v>
      </c>
      <c r="AC9" s="64">
        <v>0.398</v>
      </c>
      <c r="AD9" s="64">
        <v>0.4235</v>
      </c>
      <c r="AE9" s="64">
        <v>0.4126</v>
      </c>
    </row>
    <row r="10" spans="1:31">
      <c r="A10" s="52" t="s">
        <v>42</v>
      </c>
      <c r="B10" s="64">
        <v>0.995366</v>
      </c>
      <c r="C10" s="64">
        <v>0.881059</v>
      </c>
      <c r="D10" s="64">
        <v>0.668977</v>
      </c>
      <c r="E10" s="64">
        <v>0.377668</v>
      </c>
      <c r="F10" s="64">
        <v>0.290923</v>
      </c>
      <c r="G10" s="64">
        <v>0.078874</v>
      </c>
      <c r="H10" s="64">
        <v>0.06608</v>
      </c>
      <c r="I10" s="64">
        <v>0.057833</v>
      </c>
      <c r="J10" s="64">
        <v>0.017712</v>
      </c>
      <c r="K10" s="64">
        <v>0.000532</v>
      </c>
      <c r="L10" s="64">
        <v>0.003474</v>
      </c>
      <c r="M10" s="64">
        <v>0.006562</v>
      </c>
      <c r="N10" s="64">
        <v>0.015835</v>
      </c>
      <c r="O10" s="64">
        <v>0.004763</v>
      </c>
      <c r="P10" s="64">
        <v>0.000513</v>
      </c>
      <c r="Q10" s="64">
        <v>0.006747</v>
      </c>
      <c r="R10" s="64">
        <v>0.001473</v>
      </c>
      <c r="S10" s="64">
        <v>0.004212</v>
      </c>
      <c r="T10" s="64">
        <v>0.00089</v>
      </c>
      <c r="U10" s="64">
        <v>0.034869</v>
      </c>
      <c r="V10" s="64">
        <v>0.003664</v>
      </c>
      <c r="W10" s="64">
        <v>0.002424</v>
      </c>
      <c r="X10" s="64">
        <v>0.017205</v>
      </c>
      <c r="Y10" s="64">
        <v>0.036324</v>
      </c>
      <c r="Z10" s="64">
        <v>0.029327</v>
      </c>
      <c r="AA10" s="64">
        <v>0.010431</v>
      </c>
      <c r="AB10" s="64">
        <v>0.027288</v>
      </c>
      <c r="AC10" s="64">
        <v>0.053794</v>
      </c>
      <c r="AD10" s="64">
        <v>0.125844</v>
      </c>
      <c r="AE10" s="64">
        <v>0.087492</v>
      </c>
    </row>
    <row r="11" customFormat="1" ht="19" customHeight="1" spans="1:31">
      <c r="A11" s="65" t="s">
        <v>43</v>
      </c>
      <c r="B11" s="66">
        <v>-0.0297</v>
      </c>
      <c r="C11" s="66">
        <v>-0.0415</v>
      </c>
      <c r="D11" s="66">
        <v>-0.0318</v>
      </c>
      <c r="E11" s="66">
        <v>-0.0279</v>
      </c>
      <c r="F11" s="66">
        <v>-0.0228</v>
      </c>
      <c r="G11" s="66">
        <v>-0.0184</v>
      </c>
      <c r="H11" s="66">
        <v>-0.0171</v>
      </c>
      <c r="I11" s="66">
        <v>-0.0182</v>
      </c>
      <c r="J11" s="66">
        <v>-0.0163</v>
      </c>
      <c r="K11" s="66">
        <v>-0.0237</v>
      </c>
      <c r="L11" s="66">
        <v>-0.0327</v>
      </c>
      <c r="M11" s="66">
        <v>-0.0331</v>
      </c>
      <c r="N11" s="66">
        <v>-0.0323</v>
      </c>
      <c r="O11" s="66">
        <v>-0.0345</v>
      </c>
      <c r="P11" s="66">
        <v>-0.0317</v>
      </c>
      <c r="Q11" s="66">
        <v>-0.0403</v>
      </c>
      <c r="R11" s="66">
        <v>-0.0363</v>
      </c>
      <c r="S11" s="66">
        <v>-0.0357</v>
      </c>
      <c r="T11" s="66">
        <v>-0.0338</v>
      </c>
      <c r="U11" s="66">
        <v>-0.0343</v>
      </c>
      <c r="V11" s="66">
        <v>-0.0343</v>
      </c>
      <c r="W11" s="66">
        <v>-0.0356</v>
      </c>
      <c r="X11" s="66">
        <v>-0.0349</v>
      </c>
      <c r="Y11" s="66">
        <v>-0.0316</v>
      </c>
      <c r="Z11" s="66">
        <v>-0.032</v>
      </c>
      <c r="AA11" s="66">
        <v>-0.0321</v>
      </c>
      <c r="AB11" s="66">
        <v>-0.035</v>
      </c>
      <c r="AC11" s="66">
        <v>-0.0349</v>
      </c>
      <c r="AD11" s="66">
        <v>-0.0371</v>
      </c>
      <c r="AE11" s="66">
        <v>-0.0362</v>
      </c>
    </row>
    <row r="12" spans="1:31">
      <c r="A12" s="52" t="s">
        <v>44</v>
      </c>
      <c r="B12" s="61">
        <v>56.35</v>
      </c>
      <c r="C12" s="61">
        <v>66.34</v>
      </c>
      <c r="D12" s="61">
        <v>77.88</v>
      </c>
      <c r="E12" s="61">
        <v>88.77</v>
      </c>
      <c r="F12" s="61">
        <v>96.05</v>
      </c>
      <c r="G12" s="61">
        <v>102.11</v>
      </c>
      <c r="H12" s="61">
        <v>103.88</v>
      </c>
      <c r="I12" s="61">
        <v>105.24</v>
      </c>
      <c r="J12" s="61">
        <v>106.67</v>
      </c>
      <c r="K12" s="61">
        <v>107.48</v>
      </c>
      <c r="L12" s="61">
        <v>107.3</v>
      </c>
      <c r="M12" s="61">
        <v>107.29</v>
      </c>
      <c r="N12" s="61">
        <v>107.42</v>
      </c>
      <c r="O12" s="61">
        <v>108.09</v>
      </c>
      <c r="P12" s="61">
        <v>108.17</v>
      </c>
      <c r="Q12" s="61">
        <v>107.87</v>
      </c>
      <c r="R12" s="61">
        <v>107.94</v>
      </c>
      <c r="S12" s="61">
        <v>107.63</v>
      </c>
      <c r="T12" s="61">
        <v>107.48</v>
      </c>
      <c r="U12" s="61">
        <v>106.97</v>
      </c>
      <c r="V12" s="61">
        <v>107.52</v>
      </c>
      <c r="W12" s="61">
        <v>107.24</v>
      </c>
      <c r="X12" s="61">
        <v>106.85</v>
      </c>
      <c r="Y12" s="61">
        <v>106.52</v>
      </c>
      <c r="Z12" s="61">
        <v>106.44</v>
      </c>
      <c r="AA12" s="61">
        <v>106.24</v>
      </c>
      <c r="AB12" s="61">
        <v>105.72</v>
      </c>
      <c r="AC12" s="61">
        <v>105.46</v>
      </c>
      <c r="AD12" s="61">
        <v>105.61</v>
      </c>
      <c r="AE12" s="61">
        <v>107</v>
      </c>
    </row>
    <row r="13" spans="1:31">
      <c r="A13" s="52" t="s">
        <v>45</v>
      </c>
      <c r="B13" s="67">
        <v>0</v>
      </c>
      <c r="C13" s="67">
        <v>0</v>
      </c>
      <c r="D13" s="67">
        <v>2</v>
      </c>
      <c r="E13" s="67">
        <v>0</v>
      </c>
      <c r="F13" s="67">
        <v>33</v>
      </c>
      <c r="G13" s="67">
        <v>4</v>
      </c>
      <c r="H13" s="67">
        <v>19</v>
      </c>
      <c r="I13" s="67">
        <v>30</v>
      </c>
      <c r="J13" s="67">
        <v>111</v>
      </c>
      <c r="K13" s="67">
        <v>6</v>
      </c>
      <c r="L13" s="67">
        <v>1</v>
      </c>
      <c r="M13" s="67">
        <v>17</v>
      </c>
      <c r="N13" s="67">
        <v>158</v>
      </c>
      <c r="O13" s="67">
        <v>14</v>
      </c>
      <c r="P13" s="67">
        <v>3</v>
      </c>
      <c r="Q13" s="67">
        <v>2</v>
      </c>
      <c r="R13" s="67">
        <v>6</v>
      </c>
      <c r="S13" s="67">
        <v>3</v>
      </c>
      <c r="T13" s="67">
        <v>6</v>
      </c>
      <c r="U13" s="67">
        <v>23</v>
      </c>
      <c r="V13" s="67">
        <v>39</v>
      </c>
      <c r="W13" s="67">
        <v>35</v>
      </c>
      <c r="X13" s="67">
        <v>20</v>
      </c>
      <c r="Y13" s="67">
        <v>16</v>
      </c>
      <c r="Z13" s="67">
        <v>14</v>
      </c>
      <c r="AA13" s="67">
        <v>14</v>
      </c>
      <c r="AB13" s="67">
        <v>25</v>
      </c>
      <c r="AC13" s="67">
        <v>7</v>
      </c>
      <c r="AD13" s="67">
        <v>4</v>
      </c>
      <c r="AE13" s="67">
        <v>4</v>
      </c>
    </row>
    <row r="14" spans="1:31">
      <c r="A14" s="52" t="s">
        <v>46</v>
      </c>
      <c r="B14" s="68">
        <v>0</v>
      </c>
      <c r="C14" s="67">
        <v>0</v>
      </c>
      <c r="D14" s="67">
        <v>0</v>
      </c>
      <c r="E14" s="67">
        <v>0</v>
      </c>
      <c r="F14" s="67">
        <v>0</v>
      </c>
      <c r="G14" s="67">
        <v>16</v>
      </c>
      <c r="H14" s="67">
        <v>10</v>
      </c>
      <c r="I14" s="67">
        <v>1</v>
      </c>
      <c r="J14" s="67">
        <v>12</v>
      </c>
      <c r="K14" s="67">
        <v>35</v>
      </c>
      <c r="L14" s="67">
        <v>34</v>
      </c>
      <c r="M14" s="67">
        <v>20</v>
      </c>
      <c r="N14" s="67">
        <v>4</v>
      </c>
      <c r="O14" s="67">
        <v>10</v>
      </c>
      <c r="P14" s="67">
        <v>17</v>
      </c>
      <c r="Q14" s="67">
        <v>1</v>
      </c>
      <c r="R14" s="67">
        <v>6</v>
      </c>
      <c r="S14" s="67">
        <v>3</v>
      </c>
      <c r="T14" s="67">
        <v>15</v>
      </c>
      <c r="U14" s="67">
        <v>2</v>
      </c>
      <c r="V14" s="67">
        <v>4</v>
      </c>
      <c r="W14" s="67">
        <v>19</v>
      </c>
      <c r="X14" s="67">
        <v>65</v>
      </c>
      <c r="Y14" s="67">
        <v>12</v>
      </c>
      <c r="Z14" s="67">
        <v>16</v>
      </c>
      <c r="AA14" s="67">
        <v>49</v>
      </c>
      <c r="AB14" s="67">
        <v>15</v>
      </c>
      <c r="AC14" s="67">
        <v>18</v>
      </c>
      <c r="AD14" s="67">
        <v>5</v>
      </c>
      <c r="AE14" s="67">
        <v>5</v>
      </c>
    </row>
    <row r="15" spans="1:31">
      <c r="A15" s="52" t="s">
        <v>47</v>
      </c>
      <c r="B15" s="68">
        <v>0</v>
      </c>
      <c r="C15" s="67">
        <v>0</v>
      </c>
      <c r="D15" s="67">
        <v>0</v>
      </c>
      <c r="E15" s="67">
        <v>0</v>
      </c>
      <c r="F15" s="67">
        <v>0</v>
      </c>
      <c r="G15" s="67">
        <v>34</v>
      </c>
      <c r="H15" s="67">
        <v>15</v>
      </c>
      <c r="I15" s="67">
        <v>1</v>
      </c>
      <c r="J15" s="67">
        <v>27</v>
      </c>
      <c r="K15" s="67">
        <v>75</v>
      </c>
      <c r="L15" s="67">
        <v>104</v>
      </c>
      <c r="M15" s="67">
        <v>79</v>
      </c>
      <c r="N15" s="67">
        <v>4</v>
      </c>
      <c r="O15" s="67">
        <v>23</v>
      </c>
      <c r="P15" s="67">
        <v>36</v>
      </c>
      <c r="Q15" s="67">
        <v>2</v>
      </c>
      <c r="R15" s="67">
        <v>22</v>
      </c>
      <c r="S15" s="67">
        <v>13</v>
      </c>
      <c r="T15" s="67">
        <v>30</v>
      </c>
      <c r="U15" s="67">
        <v>6</v>
      </c>
      <c r="V15" s="67">
        <v>12</v>
      </c>
      <c r="W15" s="67">
        <v>51</v>
      </c>
      <c r="X15" s="67">
        <v>127</v>
      </c>
      <c r="Y15" s="67">
        <v>20</v>
      </c>
      <c r="Z15" s="67">
        <v>36</v>
      </c>
      <c r="AA15" s="67">
        <v>85</v>
      </c>
      <c r="AB15" s="67">
        <v>26</v>
      </c>
      <c r="AC15" s="67">
        <v>25</v>
      </c>
      <c r="AD15" s="67">
        <v>11</v>
      </c>
      <c r="AE15" s="67">
        <v>7</v>
      </c>
    </row>
    <row r="16" spans="1:31">
      <c r="A16" s="52" t="s">
        <v>48</v>
      </c>
      <c r="B16" s="67">
        <v>1</v>
      </c>
      <c r="C16" s="67">
        <v>0</v>
      </c>
      <c r="D16" s="67">
        <v>27</v>
      </c>
      <c r="E16" s="67">
        <v>1</v>
      </c>
      <c r="F16" s="67">
        <v>271</v>
      </c>
      <c r="G16" s="67">
        <v>16</v>
      </c>
      <c r="H16" s="67">
        <v>159</v>
      </c>
      <c r="I16" s="67">
        <v>233</v>
      </c>
      <c r="J16" s="67">
        <v>507</v>
      </c>
      <c r="K16" s="67">
        <v>28</v>
      </c>
      <c r="L16" s="67">
        <v>4</v>
      </c>
      <c r="M16" s="67">
        <v>478</v>
      </c>
      <c r="N16" s="67">
        <v>707</v>
      </c>
      <c r="O16" s="67">
        <v>99</v>
      </c>
      <c r="P16" s="67">
        <v>22</v>
      </c>
      <c r="Q16" s="67">
        <v>16</v>
      </c>
      <c r="R16" s="67">
        <v>26</v>
      </c>
      <c r="S16" s="67">
        <v>11</v>
      </c>
      <c r="T16" s="67">
        <v>35</v>
      </c>
      <c r="U16" s="67">
        <v>157</v>
      </c>
      <c r="V16" s="67">
        <v>350</v>
      </c>
      <c r="W16" s="67">
        <v>257</v>
      </c>
      <c r="X16" s="67">
        <v>86</v>
      </c>
      <c r="Y16" s="67">
        <v>84</v>
      </c>
      <c r="Z16" s="67">
        <v>143</v>
      </c>
      <c r="AA16" s="67">
        <v>122</v>
      </c>
      <c r="AB16" s="67">
        <v>143</v>
      </c>
      <c r="AC16" s="67">
        <v>56</v>
      </c>
      <c r="AD16" s="67">
        <v>20</v>
      </c>
      <c r="AE16" s="67">
        <v>13</v>
      </c>
    </row>
    <row r="17" spans="1:31">
      <c r="A17" s="52" t="s">
        <v>49</v>
      </c>
      <c r="B17" s="67">
        <v>0</v>
      </c>
      <c r="C17" s="67">
        <v>0</v>
      </c>
      <c r="D17" s="67">
        <v>8</v>
      </c>
      <c r="E17" s="67">
        <v>1</v>
      </c>
      <c r="F17" s="67">
        <v>132</v>
      </c>
      <c r="G17" s="67">
        <v>178</v>
      </c>
      <c r="H17" s="67">
        <v>243</v>
      </c>
      <c r="I17" s="67">
        <v>464</v>
      </c>
      <c r="J17" s="67">
        <v>1307</v>
      </c>
      <c r="K17" s="67">
        <v>858</v>
      </c>
      <c r="L17" s="67">
        <v>616</v>
      </c>
      <c r="M17" s="67">
        <v>1031</v>
      </c>
      <c r="N17" s="67">
        <v>1147</v>
      </c>
      <c r="O17" s="67">
        <v>1284</v>
      </c>
      <c r="P17" s="67">
        <v>493</v>
      </c>
      <c r="Q17" s="67">
        <v>473</v>
      </c>
      <c r="R17" s="67">
        <v>603</v>
      </c>
      <c r="S17" s="67">
        <v>344</v>
      </c>
      <c r="T17" s="67">
        <v>259</v>
      </c>
      <c r="U17" s="67">
        <v>243</v>
      </c>
      <c r="V17" s="67">
        <v>583</v>
      </c>
      <c r="W17" s="67">
        <v>865</v>
      </c>
      <c r="X17" s="67">
        <v>834</v>
      </c>
      <c r="Y17" s="67">
        <v>535</v>
      </c>
      <c r="Z17" s="67">
        <v>848</v>
      </c>
      <c r="AA17" s="67">
        <v>917</v>
      </c>
      <c r="AB17" s="67">
        <v>778</v>
      </c>
      <c r="AC17" s="67">
        <v>665</v>
      </c>
      <c r="AD17" s="67">
        <v>260</v>
      </c>
      <c r="AE17" s="67">
        <v>207</v>
      </c>
    </row>
    <row r="18" spans="1:31">
      <c r="A18" s="52" t="s">
        <v>50</v>
      </c>
      <c r="B18" s="67">
        <v>0</v>
      </c>
      <c r="C18" s="67">
        <v>1</v>
      </c>
      <c r="D18" s="67">
        <v>2</v>
      </c>
      <c r="E18" s="67">
        <v>4</v>
      </c>
      <c r="F18" s="67">
        <v>3</v>
      </c>
      <c r="G18" s="67">
        <v>357</v>
      </c>
      <c r="H18" s="67">
        <v>342</v>
      </c>
      <c r="I18" s="67">
        <v>70</v>
      </c>
      <c r="J18" s="67">
        <v>1544</v>
      </c>
      <c r="K18" s="67">
        <v>1420</v>
      </c>
      <c r="L18" s="67">
        <v>700</v>
      </c>
      <c r="M18" s="67">
        <v>660</v>
      </c>
      <c r="N18" s="67">
        <v>449</v>
      </c>
      <c r="O18" s="67">
        <v>835</v>
      </c>
      <c r="P18" s="67">
        <v>792</v>
      </c>
      <c r="Q18" s="67">
        <v>137</v>
      </c>
      <c r="R18" s="67">
        <v>436</v>
      </c>
      <c r="S18" s="67">
        <v>205</v>
      </c>
      <c r="T18" s="67">
        <v>460</v>
      </c>
      <c r="U18" s="67">
        <v>47</v>
      </c>
      <c r="V18" s="67">
        <v>174</v>
      </c>
      <c r="W18" s="67">
        <v>570</v>
      </c>
      <c r="X18" s="67">
        <v>1284</v>
      </c>
      <c r="Y18" s="67">
        <v>384</v>
      </c>
      <c r="Z18" s="67">
        <v>1435</v>
      </c>
      <c r="AA18" s="67">
        <v>1700</v>
      </c>
      <c r="AB18" s="67">
        <v>953</v>
      </c>
      <c r="AC18" s="67">
        <v>1203</v>
      </c>
      <c r="AD18" s="67">
        <v>525</v>
      </c>
      <c r="AE18" s="67">
        <v>442</v>
      </c>
    </row>
    <row r="19" spans="1:31">
      <c r="A19" s="52" t="s">
        <v>51</v>
      </c>
      <c r="B19" s="67">
        <v>0</v>
      </c>
      <c r="C19" s="67">
        <v>0</v>
      </c>
      <c r="D19" s="67">
        <v>0</v>
      </c>
      <c r="E19" s="67">
        <v>0</v>
      </c>
      <c r="F19" s="67">
        <v>0</v>
      </c>
      <c r="G19" s="67">
        <v>65</v>
      </c>
      <c r="H19" s="67">
        <v>54</v>
      </c>
      <c r="I19" s="67">
        <v>13</v>
      </c>
      <c r="J19" s="67">
        <v>114</v>
      </c>
      <c r="K19" s="67">
        <v>147</v>
      </c>
      <c r="L19" s="67">
        <v>75</v>
      </c>
      <c r="M19" s="67">
        <v>104</v>
      </c>
      <c r="N19" s="67">
        <v>102</v>
      </c>
      <c r="O19" s="67">
        <v>127</v>
      </c>
      <c r="P19" s="67">
        <v>91</v>
      </c>
      <c r="Q19" s="67">
        <v>36</v>
      </c>
      <c r="R19" s="67">
        <v>60</v>
      </c>
      <c r="S19" s="67">
        <v>41</v>
      </c>
      <c r="T19" s="67">
        <v>81</v>
      </c>
      <c r="U19" s="67">
        <v>15</v>
      </c>
      <c r="V19" s="67">
        <v>35</v>
      </c>
      <c r="W19" s="67">
        <v>84</v>
      </c>
      <c r="X19" s="67">
        <v>162</v>
      </c>
      <c r="Y19" s="67">
        <v>76</v>
      </c>
      <c r="Z19" s="67">
        <v>118</v>
      </c>
      <c r="AA19" s="67">
        <v>201</v>
      </c>
      <c r="AB19" s="67">
        <v>146</v>
      </c>
      <c r="AC19" s="67">
        <v>163</v>
      </c>
      <c r="AD19" s="67">
        <v>69</v>
      </c>
      <c r="AE19" s="67">
        <v>78</v>
      </c>
    </row>
    <row r="20" spans="1:31">
      <c r="A20" s="55" t="s">
        <v>52</v>
      </c>
      <c r="B20" s="67">
        <v>787</v>
      </c>
      <c r="C20" s="67">
        <v>522</v>
      </c>
      <c r="D20" s="67">
        <v>281</v>
      </c>
      <c r="E20" s="67">
        <v>242</v>
      </c>
      <c r="F20" s="67">
        <v>118</v>
      </c>
      <c r="G20" s="67">
        <v>48</v>
      </c>
      <c r="H20" s="67">
        <v>39</v>
      </c>
      <c r="I20" s="67">
        <v>46</v>
      </c>
      <c r="J20" s="67">
        <v>31</v>
      </c>
      <c r="K20" s="67">
        <v>20</v>
      </c>
      <c r="L20" s="67">
        <v>47</v>
      </c>
      <c r="M20" s="67">
        <v>38</v>
      </c>
      <c r="N20" s="67">
        <v>17</v>
      </c>
      <c r="O20" s="67">
        <v>14</v>
      </c>
      <c r="P20" s="67">
        <v>40</v>
      </c>
      <c r="Q20" s="67">
        <v>47</v>
      </c>
      <c r="R20" s="67">
        <v>42</v>
      </c>
      <c r="S20" s="67">
        <v>53</v>
      </c>
      <c r="T20" s="67">
        <v>39</v>
      </c>
      <c r="U20" s="67">
        <v>40</v>
      </c>
      <c r="V20" s="67">
        <v>27</v>
      </c>
      <c r="W20" s="67">
        <v>33</v>
      </c>
      <c r="X20" s="67">
        <v>31</v>
      </c>
      <c r="Y20" s="67">
        <v>29</v>
      </c>
      <c r="Z20" s="67">
        <v>21</v>
      </c>
      <c r="AA20" s="67">
        <v>34</v>
      </c>
      <c r="AB20" s="67">
        <v>16</v>
      </c>
      <c r="AC20" s="67">
        <v>46</v>
      </c>
      <c r="AD20" s="67">
        <v>51</v>
      </c>
      <c r="AE20" s="67">
        <v>47</v>
      </c>
    </row>
    <row r="21" spans="1:31">
      <c r="A21" s="55" t="s">
        <v>53</v>
      </c>
      <c r="B21" s="67">
        <v>3727</v>
      </c>
      <c r="C21" s="67">
        <v>2345</v>
      </c>
      <c r="D21" s="67">
        <v>1151</v>
      </c>
      <c r="E21" s="67">
        <v>1103</v>
      </c>
      <c r="F21" s="67">
        <v>616</v>
      </c>
      <c r="G21" s="67">
        <v>239</v>
      </c>
      <c r="H21" s="67">
        <v>112</v>
      </c>
      <c r="I21" s="67">
        <v>105</v>
      </c>
      <c r="J21" s="67">
        <v>146</v>
      </c>
      <c r="K21" s="67">
        <v>44</v>
      </c>
      <c r="L21" s="67">
        <v>125</v>
      </c>
      <c r="M21" s="67">
        <v>114</v>
      </c>
      <c r="N21" s="67">
        <v>37</v>
      </c>
      <c r="O21" s="67">
        <v>61</v>
      </c>
      <c r="P21" s="67">
        <v>116</v>
      </c>
      <c r="Q21" s="67">
        <v>94</v>
      </c>
      <c r="R21" s="67">
        <v>226</v>
      </c>
      <c r="S21" s="67">
        <v>161</v>
      </c>
      <c r="T21" s="67">
        <v>183</v>
      </c>
      <c r="U21" s="67">
        <v>235</v>
      </c>
      <c r="V21" s="67">
        <v>139</v>
      </c>
      <c r="W21" s="67">
        <v>566</v>
      </c>
      <c r="X21" s="67">
        <v>668</v>
      </c>
      <c r="Y21" s="67">
        <v>317</v>
      </c>
      <c r="Z21" s="67">
        <v>501</v>
      </c>
      <c r="AA21" s="67">
        <v>593</v>
      </c>
      <c r="AB21" s="67">
        <v>133</v>
      </c>
      <c r="AC21" s="67">
        <v>543</v>
      </c>
      <c r="AD21" s="67">
        <v>589</v>
      </c>
      <c r="AE21" s="67">
        <v>399</v>
      </c>
    </row>
    <row r="22" spans="1:31">
      <c r="A22" s="55" t="s">
        <v>54</v>
      </c>
      <c r="B22" s="67">
        <v>4061</v>
      </c>
      <c r="C22" s="67">
        <v>2268</v>
      </c>
      <c r="D22" s="67">
        <v>1284</v>
      </c>
      <c r="E22" s="67">
        <v>570</v>
      </c>
      <c r="F22" s="67">
        <v>438</v>
      </c>
      <c r="G22" s="67">
        <v>175</v>
      </c>
      <c r="H22" s="67">
        <v>170</v>
      </c>
      <c r="I22" s="67">
        <v>173</v>
      </c>
      <c r="J22" s="67">
        <v>94</v>
      </c>
      <c r="K22" s="67">
        <v>86</v>
      </c>
      <c r="L22" s="67">
        <v>97</v>
      </c>
      <c r="M22" s="67">
        <v>106</v>
      </c>
      <c r="N22" s="67">
        <v>92</v>
      </c>
      <c r="O22" s="67">
        <v>68</v>
      </c>
      <c r="P22" s="67">
        <v>76</v>
      </c>
      <c r="Q22" s="67">
        <v>135</v>
      </c>
      <c r="R22" s="67">
        <v>92</v>
      </c>
      <c r="S22" s="67">
        <v>162</v>
      </c>
      <c r="T22" s="67">
        <v>121</v>
      </c>
      <c r="U22" s="67">
        <v>138</v>
      </c>
      <c r="V22" s="67">
        <v>85</v>
      </c>
      <c r="W22" s="67">
        <v>52</v>
      </c>
      <c r="X22" s="67">
        <v>64</v>
      </c>
      <c r="Y22" s="67">
        <v>78</v>
      </c>
      <c r="Z22" s="67">
        <v>63</v>
      </c>
      <c r="AA22" s="67">
        <v>47</v>
      </c>
      <c r="AB22" s="67">
        <v>47</v>
      </c>
      <c r="AC22" s="67">
        <v>49</v>
      </c>
      <c r="AD22" s="67">
        <v>91</v>
      </c>
      <c r="AE22" s="67">
        <v>103</v>
      </c>
    </row>
    <row r="23" spans="1:31">
      <c r="A23" s="55" t="s">
        <v>55</v>
      </c>
      <c r="B23" s="67">
        <v>409</v>
      </c>
      <c r="C23" s="67">
        <v>250</v>
      </c>
      <c r="D23" s="67">
        <v>146</v>
      </c>
      <c r="E23" s="67">
        <v>67</v>
      </c>
      <c r="F23" s="67">
        <v>57</v>
      </c>
      <c r="G23" s="67">
        <v>8</v>
      </c>
      <c r="H23" s="67">
        <v>11</v>
      </c>
      <c r="I23" s="67">
        <v>11</v>
      </c>
      <c r="J23" s="67">
        <v>14</v>
      </c>
      <c r="K23" s="67">
        <v>4</v>
      </c>
      <c r="L23" s="67">
        <v>6</v>
      </c>
      <c r="M23" s="67">
        <v>19</v>
      </c>
      <c r="N23" s="67">
        <v>12</v>
      </c>
      <c r="O23" s="67">
        <v>5</v>
      </c>
      <c r="P23" s="67">
        <v>4</v>
      </c>
      <c r="Q23" s="67">
        <v>11</v>
      </c>
      <c r="R23" s="67">
        <v>9</v>
      </c>
      <c r="S23" s="67">
        <v>14</v>
      </c>
      <c r="T23" s="67">
        <v>9</v>
      </c>
      <c r="U23" s="67">
        <v>7</v>
      </c>
      <c r="V23" s="67">
        <v>6</v>
      </c>
      <c r="W23" s="67">
        <v>6</v>
      </c>
      <c r="X23" s="67">
        <v>5</v>
      </c>
      <c r="Y23" s="67">
        <v>6</v>
      </c>
      <c r="Z23" s="67">
        <v>3</v>
      </c>
      <c r="AA23" s="67">
        <v>4</v>
      </c>
      <c r="AB23" s="67">
        <v>1</v>
      </c>
      <c r="AC23" s="67">
        <v>2</v>
      </c>
      <c r="AD23" s="67">
        <v>10</v>
      </c>
      <c r="AE23" s="67">
        <v>2</v>
      </c>
    </row>
    <row r="24" spans="1:31">
      <c r="A24" s="52" t="s">
        <v>56</v>
      </c>
      <c r="B24" s="67">
        <v>0</v>
      </c>
      <c r="C24" s="67">
        <v>0</v>
      </c>
      <c r="D24" s="67">
        <v>0</v>
      </c>
      <c r="E24" s="67">
        <v>0</v>
      </c>
      <c r="F24" s="67">
        <v>0</v>
      </c>
      <c r="G24" s="67">
        <v>0</v>
      </c>
      <c r="H24" s="67">
        <v>0</v>
      </c>
      <c r="I24" s="67">
        <v>0</v>
      </c>
      <c r="J24" s="67">
        <v>0</v>
      </c>
      <c r="K24" s="67">
        <v>0</v>
      </c>
      <c r="L24" s="67">
        <v>0</v>
      </c>
      <c r="M24" s="67">
        <v>0</v>
      </c>
      <c r="N24" s="67">
        <v>0</v>
      </c>
      <c r="O24" s="67">
        <v>0</v>
      </c>
      <c r="P24" s="67">
        <v>0</v>
      </c>
      <c r="Q24" s="67">
        <v>0</v>
      </c>
      <c r="R24" s="67">
        <v>0</v>
      </c>
      <c r="S24" s="67">
        <v>0</v>
      </c>
      <c r="T24" s="67">
        <v>0</v>
      </c>
      <c r="U24" s="67">
        <v>0</v>
      </c>
      <c r="V24" s="67">
        <v>0</v>
      </c>
      <c r="W24" s="67">
        <v>0</v>
      </c>
      <c r="X24" s="67">
        <v>0</v>
      </c>
      <c r="Y24" s="67">
        <v>0</v>
      </c>
      <c r="Z24" s="67">
        <v>0</v>
      </c>
      <c r="AA24" s="67">
        <v>0</v>
      </c>
      <c r="AB24" s="67">
        <v>0</v>
      </c>
      <c r="AC24" s="67">
        <v>0</v>
      </c>
      <c r="AD24" s="67">
        <v>0</v>
      </c>
      <c r="AE24" s="67">
        <v>0</v>
      </c>
    </row>
    <row r="25" spans="1:31">
      <c r="A25" s="52" t="s">
        <v>57</v>
      </c>
      <c r="B25" s="69">
        <v>7.01</v>
      </c>
      <c r="C25" s="69">
        <v>6.98</v>
      </c>
      <c r="D25" s="69">
        <v>6.98</v>
      </c>
      <c r="E25" s="69">
        <v>7.03</v>
      </c>
      <c r="F25" s="69">
        <v>7</v>
      </c>
      <c r="G25" s="69">
        <v>7.06</v>
      </c>
      <c r="H25" s="69">
        <v>7.04</v>
      </c>
      <c r="I25" s="69">
        <v>7.07</v>
      </c>
      <c r="J25" s="69">
        <v>7.1</v>
      </c>
      <c r="K25" s="69">
        <v>7.1</v>
      </c>
      <c r="L25" s="69">
        <v>7.12</v>
      </c>
      <c r="M25" s="69">
        <v>7.13</v>
      </c>
      <c r="N25" s="69">
        <v>7.13</v>
      </c>
      <c r="O25" s="69">
        <v>7.12</v>
      </c>
      <c r="P25" s="69">
        <v>7.09</v>
      </c>
      <c r="Q25" s="69">
        <v>7.09</v>
      </c>
      <c r="R25" s="69">
        <v>7.11</v>
      </c>
      <c r="S25" s="69">
        <v>7.12</v>
      </c>
      <c r="T25" s="69">
        <v>7.12</v>
      </c>
      <c r="U25" s="69">
        <v>7.09</v>
      </c>
      <c r="V25" s="69">
        <v>7.09</v>
      </c>
      <c r="W25" s="69">
        <v>7.13</v>
      </c>
      <c r="X25" s="69">
        <v>7.12</v>
      </c>
      <c r="Y25" s="69">
        <v>7.13</v>
      </c>
      <c r="Z25" s="69">
        <v>7.11</v>
      </c>
      <c r="AA25" s="69">
        <v>7.15</v>
      </c>
      <c r="AB25" s="69">
        <v>7.13</v>
      </c>
      <c r="AC25" s="69">
        <v>7.11</v>
      </c>
      <c r="AD25" s="69">
        <v>7.13</v>
      </c>
      <c r="AE25" s="69">
        <v>7.16</v>
      </c>
    </row>
    <row r="26" spans="1:31">
      <c r="A26" s="52" t="s">
        <v>58</v>
      </c>
      <c r="B26" s="70">
        <v>0.42</v>
      </c>
      <c r="C26" s="70">
        <v>0.02</v>
      </c>
      <c r="D26" s="69">
        <v>-0.79</v>
      </c>
      <c r="E26" s="69">
        <v>0.49</v>
      </c>
      <c r="F26" s="69">
        <v>-0.84</v>
      </c>
      <c r="G26" s="69">
        <v>0.27</v>
      </c>
      <c r="H26" s="69">
        <v>-0.44</v>
      </c>
      <c r="I26" s="69">
        <v>-0.34</v>
      </c>
      <c r="J26" s="69">
        <v>-0.02</v>
      </c>
      <c r="K26" s="69">
        <v>-0.25</v>
      </c>
      <c r="L26" s="69">
        <v>-0.15</v>
      </c>
      <c r="M26" s="69">
        <v>-0.1</v>
      </c>
      <c r="N26" s="69">
        <v>0.18</v>
      </c>
      <c r="O26" s="69">
        <v>0.43</v>
      </c>
      <c r="P26" s="69">
        <v>0.03</v>
      </c>
      <c r="Q26" s="69">
        <v>-0.24</v>
      </c>
      <c r="R26" s="69">
        <v>-0.18</v>
      </c>
      <c r="S26" s="69">
        <v>0.02</v>
      </c>
      <c r="T26" s="69">
        <v>0.41</v>
      </c>
      <c r="U26" s="69">
        <v>-0.01</v>
      </c>
      <c r="V26" s="69">
        <v>-0.59</v>
      </c>
      <c r="W26" s="69">
        <v>0.13</v>
      </c>
      <c r="X26" s="69">
        <v>-0.05</v>
      </c>
      <c r="Y26" s="69">
        <v>0.15</v>
      </c>
      <c r="Z26" s="69">
        <v>-0.43</v>
      </c>
      <c r="AA26" s="69">
        <v>0.21</v>
      </c>
      <c r="AB26" s="69">
        <v>0.23</v>
      </c>
      <c r="AC26" s="69">
        <v>-0.23</v>
      </c>
      <c r="AD26" s="69">
        <v>-0.44</v>
      </c>
      <c r="AE26" s="69">
        <v>-0.29</v>
      </c>
    </row>
    <row r="27" spans="1:31">
      <c r="A27" s="52" t="s">
        <v>59</v>
      </c>
      <c r="B27" s="70">
        <v>-1.11</v>
      </c>
      <c r="C27" s="70">
        <v>-2.1</v>
      </c>
      <c r="D27" s="69">
        <v>-2</v>
      </c>
      <c r="E27" s="69">
        <v>-1.27</v>
      </c>
      <c r="F27" s="69">
        <v>-1.61</v>
      </c>
      <c r="G27" s="69">
        <v>-1.2</v>
      </c>
      <c r="H27" s="69">
        <v>-1.26</v>
      </c>
      <c r="I27" s="69">
        <v>-0.59</v>
      </c>
      <c r="J27" s="69">
        <v>-0.47</v>
      </c>
      <c r="K27" s="69">
        <v>-0.88</v>
      </c>
      <c r="L27" s="69">
        <v>-0.93</v>
      </c>
      <c r="M27" s="69">
        <v>-0.29</v>
      </c>
      <c r="N27" s="69">
        <v>-0.21</v>
      </c>
      <c r="O27" s="69">
        <v>-0.79</v>
      </c>
      <c r="P27" s="69">
        <v>-1.17</v>
      </c>
      <c r="Q27" s="69">
        <v>-1.35</v>
      </c>
      <c r="R27" s="69">
        <v>-0.81</v>
      </c>
      <c r="S27" s="69">
        <v>-0.58</v>
      </c>
      <c r="T27" s="69">
        <v>-0.41</v>
      </c>
      <c r="U27" s="69">
        <v>-1.02</v>
      </c>
      <c r="V27" s="69">
        <v>-2.2</v>
      </c>
      <c r="W27" s="69">
        <v>-1.3</v>
      </c>
      <c r="X27" s="69">
        <v>-1.66</v>
      </c>
      <c r="Y27" s="69">
        <v>-1.96</v>
      </c>
      <c r="Z27" s="69">
        <v>-2.03</v>
      </c>
      <c r="AA27" s="69">
        <v>-1.31</v>
      </c>
      <c r="AB27" s="69">
        <v>-1.91</v>
      </c>
      <c r="AC27" s="69">
        <v>-2.42</v>
      </c>
      <c r="AD27" s="69">
        <v>-2.28</v>
      </c>
      <c r="AE27" s="69">
        <v>-1.69</v>
      </c>
    </row>
    <row r="28" spans="1:31">
      <c r="A28" s="52" t="s">
        <v>60</v>
      </c>
      <c r="B28" s="67">
        <v>3100</v>
      </c>
      <c r="C28" s="67">
        <v>2851</v>
      </c>
      <c r="D28" s="67">
        <v>2646</v>
      </c>
      <c r="E28" s="67">
        <v>2505</v>
      </c>
      <c r="F28" s="67">
        <v>2483</v>
      </c>
      <c r="G28" s="67">
        <v>2363</v>
      </c>
      <c r="H28" s="67">
        <v>2355</v>
      </c>
      <c r="I28" s="67">
        <v>2365</v>
      </c>
      <c r="J28" s="67">
        <v>2330</v>
      </c>
      <c r="K28" s="67">
        <v>2328</v>
      </c>
      <c r="L28" s="67">
        <v>2349</v>
      </c>
      <c r="M28" s="67">
        <v>2354</v>
      </c>
      <c r="N28" s="67">
        <v>2355</v>
      </c>
      <c r="O28" s="67">
        <v>2353</v>
      </c>
      <c r="P28" s="67">
        <v>2375</v>
      </c>
      <c r="Q28" s="67">
        <v>2407</v>
      </c>
      <c r="R28" s="67">
        <v>2395</v>
      </c>
      <c r="S28" s="67">
        <v>2404</v>
      </c>
      <c r="T28" s="67">
        <v>2392</v>
      </c>
      <c r="U28" s="67">
        <v>2443</v>
      </c>
      <c r="V28" s="67">
        <v>2401</v>
      </c>
      <c r="W28" s="67">
        <v>2379</v>
      </c>
      <c r="X28" s="67">
        <v>2384</v>
      </c>
      <c r="Y28" s="67">
        <v>2403</v>
      </c>
      <c r="Z28" s="67">
        <v>2400</v>
      </c>
      <c r="AA28" s="67">
        <v>2392</v>
      </c>
      <c r="AB28" s="67">
        <v>2412</v>
      </c>
      <c r="AC28" s="67">
        <v>2417</v>
      </c>
      <c r="AD28" s="67">
        <v>2454</v>
      </c>
      <c r="AE28" s="67">
        <v>2444</v>
      </c>
    </row>
    <row r="29" spans="1:31">
      <c r="A29" s="52" t="s">
        <v>61</v>
      </c>
      <c r="B29" s="67">
        <v>17606.93</v>
      </c>
      <c r="C29" s="67">
        <v>15998.63</v>
      </c>
      <c r="D29" s="67">
        <v>14768.14</v>
      </c>
      <c r="E29" s="67">
        <v>13526.64</v>
      </c>
      <c r="F29" s="67">
        <v>13800.9</v>
      </c>
      <c r="G29" s="67">
        <v>11544.58</v>
      </c>
      <c r="H29" s="67">
        <v>11616.2</v>
      </c>
      <c r="I29" s="67">
        <v>13089.88</v>
      </c>
      <c r="J29" s="67">
        <v>12465.83</v>
      </c>
      <c r="K29" s="67">
        <v>11938.76</v>
      </c>
      <c r="L29" s="67">
        <v>12054.01</v>
      </c>
      <c r="M29" s="67">
        <v>11859.62</v>
      </c>
      <c r="N29" s="67">
        <v>12309.48</v>
      </c>
      <c r="O29" s="67">
        <v>11892.59</v>
      </c>
      <c r="P29" s="67">
        <v>11776.47</v>
      </c>
      <c r="Q29" s="67">
        <v>11675.78</v>
      </c>
      <c r="R29" s="67">
        <v>11602.92</v>
      </c>
      <c r="S29" s="67">
        <v>11818.73</v>
      </c>
      <c r="T29" s="67">
        <v>11478</v>
      </c>
      <c r="U29" s="67">
        <v>12471.49</v>
      </c>
      <c r="V29" s="67">
        <v>11718.02</v>
      </c>
      <c r="W29" s="67">
        <v>11315.57</v>
      </c>
      <c r="X29" s="67">
        <v>11020.76</v>
      </c>
      <c r="Y29" s="67">
        <v>11193.66</v>
      </c>
      <c r="Z29" s="67">
        <v>11195.74</v>
      </c>
      <c r="AA29" s="67">
        <v>11410.71</v>
      </c>
      <c r="AB29" s="67">
        <v>11122.46</v>
      </c>
      <c r="AC29" s="67">
        <v>11439.39</v>
      </c>
      <c r="AD29" s="67">
        <v>11516.31</v>
      </c>
      <c r="AE29" s="67">
        <v>11422.19</v>
      </c>
    </row>
    <row r="30" spans="1:31">
      <c r="A30" s="52" t="s">
        <v>62</v>
      </c>
      <c r="B30" s="71">
        <v>46.49</v>
      </c>
      <c r="C30" s="71">
        <v>46.8</v>
      </c>
      <c r="D30" s="71">
        <v>46.99</v>
      </c>
      <c r="E30" s="71">
        <v>47.26</v>
      </c>
      <c r="F30" s="71">
        <v>47.47</v>
      </c>
      <c r="G30" s="71">
        <v>47.52</v>
      </c>
      <c r="H30" s="71">
        <v>47.5</v>
      </c>
      <c r="I30" s="71">
        <v>47.39</v>
      </c>
      <c r="J30" s="71">
        <v>47.54</v>
      </c>
      <c r="K30" s="71">
        <v>47.31</v>
      </c>
      <c r="L30" s="71">
        <v>47.24</v>
      </c>
      <c r="M30" s="71">
        <v>47.26</v>
      </c>
      <c r="N30" s="71">
        <v>47.5</v>
      </c>
      <c r="O30" s="71">
        <v>47.4</v>
      </c>
      <c r="P30" s="71">
        <v>47.44</v>
      </c>
      <c r="Q30" s="71">
        <v>47.35</v>
      </c>
      <c r="R30" s="71">
        <v>47.37</v>
      </c>
      <c r="S30" s="71">
        <v>47.36</v>
      </c>
      <c r="T30" s="71">
        <v>47.2</v>
      </c>
      <c r="U30" s="71">
        <v>47.19</v>
      </c>
      <c r="V30" s="71">
        <v>47.18</v>
      </c>
      <c r="W30" s="71">
        <v>47.17</v>
      </c>
      <c r="X30" s="71">
        <v>47.11</v>
      </c>
      <c r="Y30" s="71">
        <v>47.04</v>
      </c>
      <c r="Z30" s="71">
        <v>47.06</v>
      </c>
      <c r="AA30" s="71">
        <v>47.22</v>
      </c>
      <c r="AB30" s="71">
        <v>47.19</v>
      </c>
      <c r="AC30" s="71">
        <v>47.14</v>
      </c>
      <c r="AD30" s="71">
        <v>47.03</v>
      </c>
      <c r="AE30" s="71">
        <v>47.1</v>
      </c>
    </row>
    <row r="31" spans="1:31">
      <c r="A31" s="52" t="s">
        <v>63</v>
      </c>
      <c r="B31" s="67">
        <v>-1237.26</v>
      </c>
      <c r="C31" s="67">
        <v>-1024.13</v>
      </c>
      <c r="D31" s="67">
        <v>-890.33</v>
      </c>
      <c r="E31" s="67">
        <v>-741.68</v>
      </c>
      <c r="F31" s="67">
        <v>-697.09</v>
      </c>
      <c r="G31" s="67">
        <v>-571.89</v>
      </c>
      <c r="H31" s="67">
        <v>-579.7</v>
      </c>
      <c r="I31" s="67">
        <v>-683.6</v>
      </c>
      <c r="J31" s="67">
        <v>-612.92</v>
      </c>
      <c r="K31" s="67">
        <v>-641.25</v>
      </c>
      <c r="L31" s="67">
        <v>-665.05</v>
      </c>
      <c r="M31" s="67">
        <v>-650.98</v>
      </c>
      <c r="N31" s="67">
        <v>-615.41</v>
      </c>
      <c r="O31" s="67">
        <v>-618.52</v>
      </c>
      <c r="P31" s="67">
        <v>-603.81</v>
      </c>
      <c r="Q31" s="67">
        <v>-618.02</v>
      </c>
      <c r="R31" s="67">
        <v>-609.32</v>
      </c>
      <c r="S31" s="67">
        <v>-623.89</v>
      </c>
      <c r="T31" s="67">
        <v>-641.93</v>
      </c>
      <c r="U31" s="67">
        <v>-700.54</v>
      </c>
      <c r="V31" s="67">
        <v>-661.59</v>
      </c>
      <c r="W31" s="67">
        <v>-641.1</v>
      </c>
      <c r="X31" s="67">
        <v>-637.14</v>
      </c>
      <c r="Y31" s="67">
        <v>-663.05</v>
      </c>
      <c r="Z31" s="67">
        <v>-659.14</v>
      </c>
      <c r="AA31" s="67">
        <v>-634.26</v>
      </c>
      <c r="AB31" s="67">
        <v>-625.59</v>
      </c>
      <c r="AC31" s="67">
        <v>-653.9</v>
      </c>
      <c r="AD31" s="67">
        <v>-684.42</v>
      </c>
      <c r="AE31" s="67">
        <v>-663.27</v>
      </c>
    </row>
    <row r="32" spans="1:31">
      <c r="A32" s="52" t="s">
        <v>64</v>
      </c>
      <c r="B32" s="67">
        <v>-36222</v>
      </c>
      <c r="C32" s="67">
        <v>-42709</v>
      </c>
      <c r="D32" s="67">
        <v>-39170</v>
      </c>
      <c r="E32" s="67">
        <v>-25624</v>
      </c>
      <c r="F32" s="67">
        <v>-27286</v>
      </c>
      <c r="G32" s="67">
        <v>-15398</v>
      </c>
      <c r="H32" s="67">
        <v>-19443</v>
      </c>
      <c r="I32" s="67">
        <v>-32280</v>
      </c>
      <c r="J32" s="67">
        <v>-23022</v>
      </c>
      <c r="K32" s="67">
        <v>-25189</v>
      </c>
      <c r="L32" s="67">
        <v>-28419</v>
      </c>
      <c r="M32" s="67">
        <v>-28410</v>
      </c>
      <c r="N32" s="67">
        <v>-26045</v>
      </c>
      <c r="O32" s="67">
        <v>-25973</v>
      </c>
      <c r="P32" s="67">
        <v>-22401</v>
      </c>
      <c r="Q32" s="67">
        <v>-25659</v>
      </c>
      <c r="R32" s="67">
        <v>-23596</v>
      </c>
      <c r="S32" s="67">
        <v>-25748</v>
      </c>
      <c r="T32" s="67">
        <v>-21620</v>
      </c>
      <c r="U32" s="67">
        <v>-24563</v>
      </c>
      <c r="V32" s="67">
        <v>-34543</v>
      </c>
      <c r="W32" s="67">
        <v>-26728</v>
      </c>
      <c r="X32" s="67">
        <v>-25843</v>
      </c>
      <c r="Y32" s="67">
        <v>-30256</v>
      </c>
      <c r="Z32" s="67">
        <v>-25652</v>
      </c>
      <c r="AA32" s="67">
        <v>-19237</v>
      </c>
      <c r="AB32" s="67">
        <v>-25229</v>
      </c>
      <c r="AC32" s="67">
        <v>-26744</v>
      </c>
      <c r="AD32" s="67">
        <v>-26628</v>
      </c>
      <c r="AE32" s="67">
        <v>-18276</v>
      </c>
    </row>
    <row r="33" spans="1:31">
      <c r="A33" s="52" t="s">
        <v>65</v>
      </c>
      <c r="B33" s="67">
        <v>5979</v>
      </c>
      <c r="C33" s="67">
        <v>1547</v>
      </c>
      <c r="D33" s="67">
        <v>703</v>
      </c>
      <c r="E33" s="67">
        <v>7134</v>
      </c>
      <c r="F33" s="67">
        <v>6476</v>
      </c>
      <c r="G33" s="67">
        <v>13199</v>
      </c>
      <c r="H33" s="67">
        <v>12591</v>
      </c>
      <c r="I33" s="67">
        <v>9543</v>
      </c>
      <c r="J33" s="67">
        <v>10679</v>
      </c>
      <c r="K33" s="67">
        <v>7507</v>
      </c>
      <c r="L33" s="67">
        <v>-878</v>
      </c>
      <c r="M33" s="67">
        <v>100</v>
      </c>
      <c r="N33" s="67">
        <v>-1402</v>
      </c>
      <c r="O33" s="67">
        <v>-34</v>
      </c>
      <c r="P33" s="67">
        <v>-2376</v>
      </c>
      <c r="Q33" s="67">
        <v>-2051</v>
      </c>
      <c r="R33" s="67">
        <v>-1952</v>
      </c>
      <c r="S33" s="67">
        <v>-3278</v>
      </c>
      <c r="T33" s="67">
        <v>-2459</v>
      </c>
      <c r="U33" s="67">
        <v>-1710</v>
      </c>
      <c r="V33" s="67">
        <v>-6016</v>
      </c>
      <c r="W33" s="67">
        <v>-3908</v>
      </c>
      <c r="X33" s="67">
        <v>-2374</v>
      </c>
      <c r="Y33" s="67">
        <v>-4680</v>
      </c>
      <c r="Z33" s="67">
        <v>-5784</v>
      </c>
      <c r="AA33" s="67">
        <v>-4660</v>
      </c>
      <c r="AB33" s="67">
        <v>-6865</v>
      </c>
      <c r="AC33" s="67">
        <v>-8722</v>
      </c>
      <c r="AD33" s="67">
        <v>-15539</v>
      </c>
      <c r="AE33" s="67">
        <v>-13295</v>
      </c>
    </row>
    <row r="34" spans="1:31">
      <c r="A34" s="52" t="s">
        <v>66</v>
      </c>
      <c r="B34" s="67">
        <v>-30115</v>
      </c>
      <c r="C34" s="67">
        <v>-27126</v>
      </c>
      <c r="D34" s="67">
        <v>-28243</v>
      </c>
      <c r="E34" s="67">
        <v>-19887</v>
      </c>
      <c r="F34" s="67">
        <v>-21792</v>
      </c>
      <c r="G34" s="67">
        <v>-16942</v>
      </c>
      <c r="H34" s="67">
        <v>-18355</v>
      </c>
      <c r="I34" s="67">
        <v>-21603</v>
      </c>
      <c r="J34" s="67">
        <v>-20550</v>
      </c>
      <c r="K34" s="67">
        <v>-21729</v>
      </c>
      <c r="L34" s="67">
        <v>-22380</v>
      </c>
      <c r="M34" s="67">
        <v>-21704</v>
      </c>
      <c r="N34" s="67">
        <v>-19910</v>
      </c>
      <c r="O34" s="67">
        <v>-20729</v>
      </c>
      <c r="P34" s="67">
        <v>-22784</v>
      </c>
      <c r="Q34" s="67">
        <v>-22366</v>
      </c>
      <c r="R34" s="67">
        <v>-21405</v>
      </c>
      <c r="S34" s="67">
        <v>-23401</v>
      </c>
      <c r="T34" s="67">
        <v>-23495</v>
      </c>
      <c r="U34" s="67">
        <v>-24752</v>
      </c>
      <c r="V34" s="67">
        <v>-29112</v>
      </c>
      <c r="W34" s="67">
        <v>-27546</v>
      </c>
      <c r="X34" s="67">
        <v>-28104</v>
      </c>
      <c r="Y34" s="67">
        <v>-29738</v>
      </c>
      <c r="Z34" s="67">
        <v>-28980</v>
      </c>
      <c r="AA34" s="67">
        <v>-26883</v>
      </c>
      <c r="AB34" s="67">
        <v>-25603</v>
      </c>
      <c r="AC34" s="67">
        <v>-27262</v>
      </c>
      <c r="AD34" s="67">
        <v>-27452</v>
      </c>
      <c r="AE34" s="67">
        <v>-24814</v>
      </c>
    </row>
    <row r="35" spans="1:31">
      <c r="A35" s="52" t="s">
        <v>67</v>
      </c>
      <c r="B35" s="67">
        <v>-7128</v>
      </c>
      <c r="C35" s="67">
        <v>-7781</v>
      </c>
      <c r="D35" s="67">
        <v>-8727</v>
      </c>
      <c r="E35" s="67">
        <v>-6282</v>
      </c>
      <c r="F35" s="67">
        <v>-6639</v>
      </c>
      <c r="G35" s="67">
        <v>-3532</v>
      </c>
      <c r="H35" s="67">
        <v>-2293</v>
      </c>
      <c r="I35" s="67">
        <v>-4574</v>
      </c>
      <c r="J35" s="67">
        <v>-2414</v>
      </c>
      <c r="K35" s="67">
        <v>-2494</v>
      </c>
      <c r="L35" s="67">
        <v>-6478</v>
      </c>
      <c r="M35" s="67">
        <v>-3961</v>
      </c>
      <c r="N35" s="67">
        <v>-7065</v>
      </c>
      <c r="O35" s="67">
        <v>-5691</v>
      </c>
      <c r="P35" s="67">
        <v>-8542</v>
      </c>
      <c r="Q35" s="67">
        <v>-8285</v>
      </c>
      <c r="R35" s="67">
        <v>-10101</v>
      </c>
      <c r="S35" s="67">
        <v>-10429</v>
      </c>
      <c r="T35" s="67">
        <v>-12108</v>
      </c>
      <c r="U35" s="67">
        <v>-12524</v>
      </c>
      <c r="V35" s="67">
        <v>-13507</v>
      </c>
      <c r="W35" s="67">
        <v>-12337</v>
      </c>
      <c r="X35" s="67">
        <v>-14270</v>
      </c>
      <c r="Y35" s="67">
        <v>-15565</v>
      </c>
      <c r="Z35" s="67">
        <v>-15217</v>
      </c>
      <c r="AA35" s="67">
        <v>-13494</v>
      </c>
      <c r="AB35" s="67">
        <v>-13870</v>
      </c>
      <c r="AC35" s="67">
        <v>-14538</v>
      </c>
      <c r="AD35" s="67">
        <v>-19967</v>
      </c>
      <c r="AE35" s="67">
        <v>-19219</v>
      </c>
    </row>
    <row r="36" spans="1:31">
      <c r="A36" s="52" t="s">
        <v>68</v>
      </c>
      <c r="B36" s="67">
        <v>44758</v>
      </c>
      <c r="C36" s="67">
        <v>46864</v>
      </c>
      <c r="D36" s="67">
        <v>52065</v>
      </c>
      <c r="E36" s="67">
        <v>44830</v>
      </c>
      <c r="F36" s="67">
        <v>44611</v>
      </c>
      <c r="G36" s="67">
        <v>43465</v>
      </c>
      <c r="H36" s="67">
        <v>43814</v>
      </c>
      <c r="I36" s="67">
        <v>41323</v>
      </c>
      <c r="J36" s="67">
        <v>33152</v>
      </c>
      <c r="K36" s="67">
        <v>45049</v>
      </c>
      <c r="L36" s="67">
        <v>51475</v>
      </c>
      <c r="M36" s="67">
        <v>58550</v>
      </c>
      <c r="N36" s="67">
        <v>59882</v>
      </c>
      <c r="O36" s="67">
        <v>62552</v>
      </c>
      <c r="P36" s="67">
        <v>60880</v>
      </c>
      <c r="Q36" s="67">
        <v>65490</v>
      </c>
      <c r="R36" s="67">
        <v>71195</v>
      </c>
      <c r="S36" s="67">
        <v>72587</v>
      </c>
      <c r="T36" s="67">
        <v>77242</v>
      </c>
      <c r="U36" s="67">
        <v>86343</v>
      </c>
      <c r="V36" s="67">
        <v>82858</v>
      </c>
      <c r="W36" s="67">
        <v>86384</v>
      </c>
      <c r="X36" s="67">
        <v>87972</v>
      </c>
      <c r="Y36" s="67">
        <v>91967</v>
      </c>
      <c r="Z36" s="67">
        <v>94221</v>
      </c>
      <c r="AA36" s="67">
        <v>93650</v>
      </c>
      <c r="AB36" s="67">
        <v>90571</v>
      </c>
      <c r="AC36" s="67">
        <v>94170</v>
      </c>
      <c r="AD36" s="67">
        <v>95452</v>
      </c>
      <c r="AE36" s="67">
        <v>92540</v>
      </c>
    </row>
    <row r="37" spans="1:31">
      <c r="A37" s="52" t="s">
        <v>69</v>
      </c>
      <c r="B37" s="67">
        <v>152297</v>
      </c>
      <c r="C37" s="67">
        <v>149831</v>
      </c>
      <c r="D37" s="67">
        <v>138990</v>
      </c>
      <c r="E37" s="67">
        <v>124265</v>
      </c>
      <c r="F37" s="67">
        <v>129855</v>
      </c>
      <c r="G37" s="67">
        <v>121593</v>
      </c>
      <c r="H37" s="67">
        <v>126065</v>
      </c>
      <c r="I37" s="67">
        <v>114091</v>
      </c>
      <c r="J37" s="67">
        <v>120465</v>
      </c>
      <c r="K37" s="67">
        <v>124864</v>
      </c>
      <c r="L37" s="67">
        <v>129844</v>
      </c>
      <c r="M37" s="67">
        <v>125285</v>
      </c>
      <c r="N37" s="67">
        <v>124136</v>
      </c>
      <c r="O37" s="67">
        <v>115543</v>
      </c>
      <c r="P37" s="67">
        <v>107325</v>
      </c>
      <c r="Q37" s="67">
        <v>111789</v>
      </c>
      <c r="R37" s="67">
        <v>108003</v>
      </c>
      <c r="S37" s="67">
        <v>110293</v>
      </c>
      <c r="T37" s="67">
        <v>122598</v>
      </c>
      <c r="U37" s="67">
        <v>135319</v>
      </c>
      <c r="V37" s="67">
        <v>121088</v>
      </c>
      <c r="W37" s="67">
        <v>129278</v>
      </c>
      <c r="X37" s="67">
        <v>129820</v>
      </c>
      <c r="Y37" s="67">
        <v>127965</v>
      </c>
      <c r="Z37" s="67">
        <v>129270</v>
      </c>
      <c r="AA37" s="67">
        <v>128809</v>
      </c>
      <c r="AB37" s="67">
        <v>122462</v>
      </c>
      <c r="AC37" s="67">
        <v>128844</v>
      </c>
      <c r="AD37" s="67">
        <v>127468</v>
      </c>
      <c r="AE37" s="67">
        <v>120781</v>
      </c>
    </row>
    <row r="38" spans="1:31">
      <c r="A38" s="52" t="s">
        <v>70</v>
      </c>
      <c r="B38" s="67">
        <v>64718</v>
      </c>
      <c r="C38" s="67">
        <v>59845</v>
      </c>
      <c r="D38" s="67">
        <v>57916</v>
      </c>
      <c r="E38" s="67">
        <v>54008</v>
      </c>
      <c r="F38" s="67">
        <v>52754</v>
      </c>
      <c r="G38" s="67">
        <v>49457</v>
      </c>
      <c r="H38" s="67">
        <v>49214</v>
      </c>
      <c r="I38" s="67">
        <v>51881</v>
      </c>
      <c r="J38" s="67">
        <v>48370</v>
      </c>
      <c r="K38" s="67">
        <v>53900</v>
      </c>
      <c r="L38" s="67">
        <v>59063</v>
      </c>
      <c r="M38" s="67">
        <v>58132</v>
      </c>
      <c r="N38" s="67">
        <v>57844</v>
      </c>
      <c r="O38" s="67">
        <v>51375</v>
      </c>
      <c r="P38" s="67">
        <v>50883</v>
      </c>
      <c r="Q38" s="67">
        <v>50688</v>
      </c>
      <c r="R38" s="67">
        <v>50309</v>
      </c>
      <c r="S38" s="67">
        <v>51034</v>
      </c>
      <c r="T38" s="67">
        <v>50972</v>
      </c>
      <c r="U38" s="67">
        <v>51615</v>
      </c>
      <c r="V38" s="67">
        <v>51739</v>
      </c>
      <c r="W38" s="67">
        <v>51534</v>
      </c>
      <c r="X38" s="67">
        <v>50630</v>
      </c>
      <c r="Y38" s="67">
        <v>51651</v>
      </c>
      <c r="Z38" s="67">
        <v>51493</v>
      </c>
      <c r="AA38" s="67">
        <v>52808</v>
      </c>
      <c r="AB38" s="67">
        <v>48360</v>
      </c>
      <c r="AC38" s="67">
        <v>51975</v>
      </c>
      <c r="AD38" s="67">
        <v>52065</v>
      </c>
      <c r="AE38" s="67">
        <v>50536</v>
      </c>
    </row>
    <row r="39" spans="1:31">
      <c r="A39" s="52" t="s">
        <v>71</v>
      </c>
      <c r="B39" s="67">
        <v>14251</v>
      </c>
      <c r="C39" s="67">
        <v>15075</v>
      </c>
      <c r="D39" s="67">
        <v>16231</v>
      </c>
      <c r="E39" s="67">
        <v>13658</v>
      </c>
      <c r="F39" s="67">
        <v>16239</v>
      </c>
      <c r="G39" s="67">
        <v>13971</v>
      </c>
      <c r="H39" s="67">
        <v>15254</v>
      </c>
      <c r="I39" s="67">
        <v>13966</v>
      </c>
      <c r="J39" s="67">
        <v>9839</v>
      </c>
      <c r="K39" s="67">
        <v>16729</v>
      </c>
      <c r="L39" s="67">
        <v>21354</v>
      </c>
      <c r="M39" s="67">
        <v>24129</v>
      </c>
      <c r="N39" s="67">
        <v>23841</v>
      </c>
      <c r="O39" s="67">
        <v>25383</v>
      </c>
      <c r="P39" s="67">
        <v>28150</v>
      </c>
      <c r="Q39" s="67">
        <v>29036</v>
      </c>
      <c r="R39" s="67">
        <v>29878</v>
      </c>
      <c r="S39" s="67">
        <v>31317</v>
      </c>
      <c r="T39" s="67">
        <v>31225</v>
      </c>
      <c r="U39" s="67">
        <v>32000</v>
      </c>
      <c r="V39" s="67">
        <v>33502</v>
      </c>
      <c r="W39" s="67">
        <v>33944</v>
      </c>
      <c r="X39" s="67">
        <v>34381</v>
      </c>
      <c r="Y39" s="67">
        <v>35985</v>
      </c>
      <c r="Z39" s="67">
        <v>35567</v>
      </c>
      <c r="AA39" s="67">
        <v>37588</v>
      </c>
      <c r="AB39" s="67">
        <v>35094</v>
      </c>
      <c r="AC39" s="67">
        <v>35849</v>
      </c>
      <c r="AD39" s="67">
        <v>36254</v>
      </c>
      <c r="AE39" s="67">
        <v>35136</v>
      </c>
    </row>
    <row r="41" spans="1:1">
      <c r="A41" s="60" t="s">
        <v>72</v>
      </c>
    </row>
    <row r="42" spans="1:1">
      <c r="A42" s="60" t="s">
        <v>73</v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FFF8544C"/>
        <color rgb="FF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FFF8544C"/>
        <color rgb="FF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FF9AE854"/>
        <color rgb="FF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FF9AE854"/>
        <color rgb="FF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FF9AE854"/>
        <color rgb="FF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FF9AE854"/>
        <color rgb="FF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FF9AE854"/>
        <color rgb="FF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FF9AE854"/>
        <color rgb="FF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FF9AE854"/>
        <color rgb="FF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FF9AE854"/>
        <color rgb="FF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FFF8544C"/>
        <color rgb="FF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FFF8544C"/>
        <color rgb="FF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FFF8544C"/>
        <color rgb="FF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FF9AE854"/>
        <color rgb="FF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FF9AE854"/>
        <color rgb="FF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FF9AE854"/>
        <color rgb="FF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FF9AE854"/>
        <color rgb="FF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FF9AE854"/>
        <color rgb="FF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FF9AE854"/>
        <color rgb="FF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FFF8544C"/>
        <color rgb="FF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FFF8544C"/>
        <color rgb="FF9AE854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2"/>
  <sheetViews>
    <sheetView zoomScale="55" zoomScaleNormal="55" workbookViewId="0">
      <selection activeCell="B28" sqref="B28"/>
    </sheetView>
  </sheetViews>
  <sheetFormatPr defaultColWidth="8.88888888888889" defaultRowHeight="14.4"/>
  <cols>
    <col min="1" max="1" width="19.5925925925926" style="2" customWidth="1"/>
    <col min="2" max="31" width="7.57407407407407" style="2" customWidth="1"/>
  </cols>
  <sheetData>
    <row r="1" spans="1:31">
      <c r="A1" s="52" t="s">
        <v>0</v>
      </c>
      <c r="B1" s="53" t="s">
        <v>74</v>
      </c>
      <c r="C1" s="53" t="s">
        <v>75</v>
      </c>
      <c r="D1" s="53" t="s">
        <v>76</v>
      </c>
      <c r="E1" s="53" t="s">
        <v>1</v>
      </c>
      <c r="F1" s="53" t="s">
        <v>2</v>
      </c>
      <c r="G1" s="53" t="s">
        <v>3</v>
      </c>
      <c r="H1" s="53" t="s">
        <v>4</v>
      </c>
      <c r="I1" s="53" t="s">
        <v>5</v>
      </c>
      <c r="J1" s="53" t="s">
        <v>6</v>
      </c>
      <c r="K1" s="53" t="s">
        <v>7</v>
      </c>
      <c r="L1" s="53" t="s">
        <v>8</v>
      </c>
      <c r="M1" s="53" t="s">
        <v>9</v>
      </c>
      <c r="N1" s="53" t="s">
        <v>77</v>
      </c>
      <c r="O1" s="53" t="s">
        <v>78</v>
      </c>
      <c r="P1" s="53" t="s">
        <v>10</v>
      </c>
      <c r="Q1" s="53" t="s">
        <v>11</v>
      </c>
      <c r="R1" s="53" t="s">
        <v>12</v>
      </c>
      <c r="S1" s="53" t="s">
        <v>13</v>
      </c>
      <c r="T1" s="53" t="s">
        <v>14</v>
      </c>
      <c r="U1" s="53" t="s">
        <v>15</v>
      </c>
      <c r="V1" s="53" t="s">
        <v>16</v>
      </c>
      <c r="W1" s="53" t="s">
        <v>17</v>
      </c>
      <c r="X1" s="53" t="s">
        <v>18</v>
      </c>
      <c r="Y1" s="53" t="s">
        <v>19</v>
      </c>
      <c r="Z1" s="53" t="s">
        <v>20</v>
      </c>
      <c r="AA1" s="53" t="s">
        <v>21</v>
      </c>
      <c r="AB1" s="53" t="s">
        <v>22</v>
      </c>
      <c r="AC1" s="53" t="s">
        <v>23</v>
      </c>
      <c r="AD1" s="53" t="s">
        <v>24</v>
      </c>
      <c r="AE1" s="53" t="s">
        <v>25</v>
      </c>
    </row>
    <row r="2" spans="1:31">
      <c r="A2" s="52" t="s">
        <v>79</v>
      </c>
      <c r="B2" s="54" t="s">
        <v>33</v>
      </c>
      <c r="C2" s="54" t="s">
        <v>33</v>
      </c>
      <c r="D2" s="54" t="s">
        <v>33</v>
      </c>
      <c r="E2" s="54" t="s">
        <v>33</v>
      </c>
      <c r="F2" s="54" t="s">
        <v>33</v>
      </c>
      <c r="G2" s="54" t="s">
        <v>33</v>
      </c>
      <c r="H2" s="54" t="s">
        <v>33</v>
      </c>
      <c r="I2" s="54" t="s">
        <v>33</v>
      </c>
      <c r="J2" s="57" t="s">
        <v>34</v>
      </c>
      <c r="K2" s="57" t="s">
        <v>34</v>
      </c>
      <c r="L2" s="57" t="s">
        <v>34</v>
      </c>
      <c r="M2" s="57" t="s">
        <v>34</v>
      </c>
      <c r="N2" s="59" t="s">
        <v>35</v>
      </c>
      <c r="O2" s="59" t="s">
        <v>35</v>
      </c>
      <c r="P2" s="59" t="s">
        <v>35</v>
      </c>
      <c r="Q2" s="59" t="s">
        <v>35</v>
      </c>
      <c r="R2" s="59" t="s">
        <v>35</v>
      </c>
      <c r="S2" s="59" t="s">
        <v>35</v>
      </c>
      <c r="T2" s="59" t="s">
        <v>35</v>
      </c>
      <c r="U2" s="59" t="s">
        <v>35</v>
      </c>
      <c r="V2" s="59" t="s">
        <v>35</v>
      </c>
      <c r="W2" s="59" t="s">
        <v>35</v>
      </c>
      <c r="X2" s="59" t="s">
        <v>35</v>
      </c>
      <c r="Y2" s="59" t="s">
        <v>35</v>
      </c>
      <c r="Z2" s="57" t="s">
        <v>34</v>
      </c>
      <c r="AA2" s="59" t="s">
        <v>35</v>
      </c>
      <c r="AB2" s="59" t="s">
        <v>35</v>
      </c>
      <c r="AC2" s="59" t="s">
        <v>35</v>
      </c>
      <c r="AD2" s="57" t="s">
        <v>34</v>
      </c>
      <c r="AE2" s="59" t="s">
        <v>35</v>
      </c>
    </row>
    <row r="3" spans="1:31">
      <c r="A3" s="55" t="s">
        <v>80</v>
      </c>
      <c r="B3" s="56">
        <v>12.81</v>
      </c>
      <c r="C3" s="56">
        <v>12.81</v>
      </c>
      <c r="D3" s="56">
        <v>12.81</v>
      </c>
      <c r="E3" s="56">
        <v>12.81</v>
      </c>
      <c r="F3" s="56">
        <v>3.53</v>
      </c>
      <c r="G3" s="56">
        <v>0.13</v>
      </c>
      <c r="H3" s="56">
        <v>-3.29</v>
      </c>
      <c r="I3" s="56">
        <v>-3.51</v>
      </c>
      <c r="J3" s="56">
        <v>-6.68</v>
      </c>
      <c r="K3" s="56">
        <v>-7.93</v>
      </c>
      <c r="L3" s="56">
        <v>-7.25</v>
      </c>
      <c r="M3" s="56">
        <v>-8.3</v>
      </c>
      <c r="N3" s="56">
        <v>-9.81</v>
      </c>
      <c r="O3" s="56">
        <v>-9.81</v>
      </c>
      <c r="P3" s="56">
        <v>-9.81</v>
      </c>
      <c r="Q3" s="56">
        <v>-9.59</v>
      </c>
      <c r="R3" s="56">
        <v>-9.82</v>
      </c>
      <c r="S3" s="56">
        <v>-9.44</v>
      </c>
      <c r="T3" s="56">
        <v>-9.26</v>
      </c>
      <c r="U3" s="56">
        <v>-8.8</v>
      </c>
      <c r="V3" s="56">
        <v>-7.94</v>
      </c>
      <c r="W3" s="56">
        <v>-8.34</v>
      </c>
      <c r="X3" s="56">
        <v>-7.43</v>
      </c>
      <c r="Y3" s="56">
        <v>-7.87</v>
      </c>
      <c r="Z3" s="56">
        <v>-6.78</v>
      </c>
      <c r="AA3" s="56">
        <v>-7.9</v>
      </c>
      <c r="AB3" s="56">
        <v>-8.21</v>
      </c>
      <c r="AC3" s="56">
        <v>-7.46</v>
      </c>
      <c r="AD3" s="56">
        <v>-7.49</v>
      </c>
      <c r="AE3" s="56">
        <v>-7.68</v>
      </c>
    </row>
    <row r="4" spans="1:31">
      <c r="A4" s="52" t="s">
        <v>81</v>
      </c>
      <c r="B4" s="56">
        <v>8.71</v>
      </c>
      <c r="C4" s="56">
        <v>8.71</v>
      </c>
      <c r="D4" s="56">
        <v>8.71</v>
      </c>
      <c r="E4" s="56">
        <v>8.71</v>
      </c>
      <c r="F4" s="56">
        <v>0.41</v>
      </c>
      <c r="G4" s="56">
        <v>-2.48</v>
      </c>
      <c r="H4" s="56">
        <v>-4.76</v>
      </c>
      <c r="I4" s="56">
        <v>-4.9</v>
      </c>
      <c r="J4" s="56">
        <v>-8.16</v>
      </c>
      <c r="K4" s="56">
        <v>-9.72</v>
      </c>
      <c r="L4" s="56">
        <v>-9.59</v>
      </c>
      <c r="M4" s="56">
        <v>-10.85</v>
      </c>
      <c r="N4" s="56">
        <v>-12.12</v>
      </c>
      <c r="O4" s="56">
        <v>-12.12</v>
      </c>
      <c r="P4" s="56">
        <v>-12.12</v>
      </c>
      <c r="Q4" s="56">
        <v>-11.77</v>
      </c>
      <c r="R4" s="56">
        <v>-11.13</v>
      </c>
      <c r="S4" s="56">
        <v>-11.05</v>
      </c>
      <c r="T4" s="56">
        <v>-10.42</v>
      </c>
      <c r="U4" s="56">
        <v>-8.97</v>
      </c>
      <c r="V4" s="56">
        <v>-8.39</v>
      </c>
      <c r="W4" s="56">
        <v>-8.89</v>
      </c>
      <c r="X4" s="56">
        <v>-8.65</v>
      </c>
      <c r="Y4" s="56">
        <v>-7.71</v>
      </c>
      <c r="Z4" s="56">
        <v>-6.12</v>
      </c>
      <c r="AA4" s="56">
        <v>-7.13</v>
      </c>
      <c r="AB4" s="56">
        <v>-6.9</v>
      </c>
      <c r="AC4" s="56">
        <v>-6.27</v>
      </c>
      <c r="AD4" s="56">
        <v>-5.67</v>
      </c>
      <c r="AE4" s="56">
        <v>-5.33</v>
      </c>
    </row>
    <row r="5" spans="1:31">
      <c r="A5" s="55" t="s">
        <v>82</v>
      </c>
      <c r="B5" s="56">
        <v>99.75</v>
      </c>
      <c r="C5" s="56">
        <v>99.75</v>
      </c>
      <c r="D5" s="56">
        <v>99.75</v>
      </c>
      <c r="E5" s="56">
        <v>99.75</v>
      </c>
      <c r="F5" s="56">
        <v>99.31</v>
      </c>
      <c r="G5" s="56">
        <v>98.83</v>
      </c>
      <c r="H5" s="56">
        <v>97.35</v>
      </c>
      <c r="I5" s="56">
        <v>96.38</v>
      </c>
      <c r="J5" s="56">
        <v>77.51</v>
      </c>
      <c r="K5" s="56">
        <v>64.38</v>
      </c>
      <c r="L5" s="56">
        <v>63.45</v>
      </c>
      <c r="M5" s="56">
        <v>37.85</v>
      </c>
      <c r="N5" s="56">
        <v>7.42</v>
      </c>
      <c r="O5" s="56">
        <v>7.42</v>
      </c>
      <c r="P5" s="56">
        <v>7.42</v>
      </c>
      <c r="Q5" s="56">
        <v>10.95</v>
      </c>
      <c r="R5" s="56">
        <v>12.36</v>
      </c>
      <c r="S5" s="56">
        <v>20.95</v>
      </c>
      <c r="T5" s="56">
        <v>5.95</v>
      </c>
      <c r="U5" s="56">
        <v>11.48</v>
      </c>
      <c r="V5" s="56">
        <v>21.9</v>
      </c>
      <c r="W5" s="56">
        <v>12.41</v>
      </c>
      <c r="X5" s="56">
        <v>19.88</v>
      </c>
      <c r="Y5" s="56">
        <v>24.04</v>
      </c>
      <c r="Z5" s="56">
        <v>52.18</v>
      </c>
      <c r="AA5" s="56">
        <v>8.37</v>
      </c>
      <c r="AB5" s="56">
        <v>15.44</v>
      </c>
      <c r="AC5" s="56">
        <v>27.78</v>
      </c>
      <c r="AD5" s="56">
        <v>40.86</v>
      </c>
      <c r="AE5" s="56">
        <v>37.54</v>
      </c>
    </row>
    <row r="6" spans="1:31">
      <c r="A6" s="52" t="s">
        <v>83</v>
      </c>
      <c r="B6" s="54" t="s">
        <v>33</v>
      </c>
      <c r="C6" s="54" t="s">
        <v>33</v>
      </c>
      <c r="D6" s="54" t="s">
        <v>33</v>
      </c>
      <c r="E6" s="54" t="s">
        <v>33</v>
      </c>
      <c r="F6" s="54" t="s">
        <v>33</v>
      </c>
      <c r="G6" s="54" t="s">
        <v>33</v>
      </c>
      <c r="H6" s="54" t="s">
        <v>33</v>
      </c>
      <c r="I6" s="54" t="s">
        <v>33</v>
      </c>
      <c r="J6" s="59" t="s">
        <v>35</v>
      </c>
      <c r="K6" s="57" t="s">
        <v>34</v>
      </c>
      <c r="L6" s="57" t="s">
        <v>34</v>
      </c>
      <c r="M6" s="59" t="s">
        <v>35</v>
      </c>
      <c r="N6" s="57" t="s">
        <v>34</v>
      </c>
      <c r="O6" s="57" t="s">
        <v>34</v>
      </c>
      <c r="P6" s="57" t="s">
        <v>34</v>
      </c>
      <c r="Q6" s="57" t="s">
        <v>34</v>
      </c>
      <c r="R6" s="57" t="s">
        <v>34</v>
      </c>
      <c r="S6" s="57" t="s">
        <v>34</v>
      </c>
      <c r="T6" s="59" t="s">
        <v>35</v>
      </c>
      <c r="U6" s="59" t="s">
        <v>35</v>
      </c>
      <c r="V6" s="57" t="s">
        <v>34</v>
      </c>
      <c r="W6" s="57" t="s">
        <v>34</v>
      </c>
      <c r="X6" s="57" t="s">
        <v>34</v>
      </c>
      <c r="Y6" s="59" t="s">
        <v>35</v>
      </c>
      <c r="Z6" s="54" t="s">
        <v>33</v>
      </c>
      <c r="AA6" s="57" t="s">
        <v>34</v>
      </c>
      <c r="AB6" s="59" t="s">
        <v>35</v>
      </c>
      <c r="AC6" s="59" t="s">
        <v>35</v>
      </c>
      <c r="AD6" s="59" t="s">
        <v>35</v>
      </c>
      <c r="AE6" s="59" t="s">
        <v>35</v>
      </c>
    </row>
    <row r="7" spans="1:31">
      <c r="A7" s="55" t="s">
        <v>84</v>
      </c>
      <c r="B7" s="56">
        <v>26.36</v>
      </c>
      <c r="C7" s="56">
        <v>26.36</v>
      </c>
      <c r="D7" s="56">
        <v>26.36</v>
      </c>
      <c r="E7" s="56">
        <v>26.36</v>
      </c>
      <c r="F7" s="56">
        <v>5.45</v>
      </c>
      <c r="G7" s="56">
        <v>-0.85</v>
      </c>
      <c r="H7" s="56">
        <v>-5.96</v>
      </c>
      <c r="I7" s="56">
        <v>-6.32</v>
      </c>
      <c r="J7" s="56">
        <v>-10.11</v>
      </c>
      <c r="K7" s="56">
        <v>-11.14</v>
      </c>
      <c r="L7" s="56">
        <v>-9.23</v>
      </c>
      <c r="M7" s="56">
        <v>-12.41</v>
      </c>
      <c r="N7" s="56">
        <v>-13.62</v>
      </c>
      <c r="O7" s="56">
        <v>-13.62</v>
      </c>
      <c r="P7" s="56">
        <v>-13.62</v>
      </c>
      <c r="Q7" s="56">
        <v>-12.75</v>
      </c>
      <c r="R7" s="56">
        <v>-11.62</v>
      </c>
      <c r="S7" s="56">
        <v>-12.8</v>
      </c>
      <c r="T7" s="56">
        <v>-13.49</v>
      </c>
      <c r="U7" s="56">
        <v>-12.19</v>
      </c>
      <c r="V7" s="56">
        <v>-11.56</v>
      </c>
      <c r="W7" s="56">
        <v>-10.95</v>
      </c>
      <c r="X7" s="56">
        <v>-10.7</v>
      </c>
      <c r="Y7" s="56">
        <v>-9.2</v>
      </c>
      <c r="Z7" s="56">
        <v>-6.6</v>
      </c>
      <c r="AA7" s="56">
        <v>-9.63</v>
      </c>
      <c r="AB7" s="56">
        <v>-10.94</v>
      </c>
      <c r="AC7" s="56">
        <v>-10.14</v>
      </c>
      <c r="AD7" s="56">
        <v>-8.17</v>
      </c>
      <c r="AE7" s="56">
        <v>-7.67</v>
      </c>
    </row>
    <row r="8" spans="1:31">
      <c r="A8" s="52" t="s">
        <v>85</v>
      </c>
      <c r="B8" s="56">
        <v>15.28</v>
      </c>
      <c r="C8" s="56">
        <v>15.28</v>
      </c>
      <c r="D8" s="56">
        <v>15.28</v>
      </c>
      <c r="E8" s="56">
        <v>15.28</v>
      </c>
      <c r="F8" s="56">
        <v>-3.74</v>
      </c>
      <c r="G8" s="56">
        <v>-10.62</v>
      </c>
      <c r="H8" s="56">
        <v>-12.51</v>
      </c>
      <c r="I8" s="56">
        <v>-12.61</v>
      </c>
      <c r="J8" s="56">
        <v>-14.58</v>
      </c>
      <c r="K8" s="56">
        <v>-16.03</v>
      </c>
      <c r="L8" s="56">
        <v>-16.65</v>
      </c>
      <c r="M8" s="56">
        <v>-18.48</v>
      </c>
      <c r="N8" s="56">
        <v>-18.74</v>
      </c>
      <c r="O8" s="56">
        <v>-18.74</v>
      </c>
      <c r="P8" s="56">
        <v>-18.74</v>
      </c>
      <c r="Q8" s="56">
        <v>-19.06</v>
      </c>
      <c r="R8" s="56">
        <v>-18.16</v>
      </c>
      <c r="S8" s="56">
        <v>-20.04</v>
      </c>
      <c r="T8" s="56">
        <v>-19.01</v>
      </c>
      <c r="U8" s="56">
        <v>-17.71</v>
      </c>
      <c r="V8" s="56">
        <v>-17.63</v>
      </c>
      <c r="W8" s="56">
        <v>-17.79</v>
      </c>
      <c r="X8" s="56">
        <v>-17.53</v>
      </c>
      <c r="Y8" s="56">
        <v>-16.58</v>
      </c>
      <c r="Z8" s="56">
        <v>-12.6</v>
      </c>
      <c r="AA8" s="56">
        <v>-16.3</v>
      </c>
      <c r="AB8" s="56">
        <v>-17.92</v>
      </c>
      <c r="AC8" s="56">
        <v>-17.61</v>
      </c>
      <c r="AD8" s="56">
        <v>-16.31</v>
      </c>
      <c r="AE8" s="56">
        <v>-15.1</v>
      </c>
    </row>
    <row r="9" spans="1:31">
      <c r="A9" s="55" t="s">
        <v>86</v>
      </c>
      <c r="B9" s="56">
        <v>96.84</v>
      </c>
      <c r="C9" s="56">
        <v>96.84</v>
      </c>
      <c r="D9" s="56">
        <v>96.84</v>
      </c>
      <c r="E9" s="56">
        <v>96.84</v>
      </c>
      <c r="F9" s="56">
        <v>91.07</v>
      </c>
      <c r="G9" s="56">
        <v>81.49</v>
      </c>
      <c r="H9" s="56">
        <v>64.94</v>
      </c>
      <c r="I9" s="56">
        <v>64.66</v>
      </c>
      <c r="J9" s="56">
        <v>23.69</v>
      </c>
      <c r="K9" s="56">
        <v>29.81</v>
      </c>
      <c r="L9" s="56">
        <v>33.91</v>
      </c>
      <c r="M9" s="56">
        <v>22.82</v>
      </c>
      <c r="N9" s="56">
        <v>30.54</v>
      </c>
      <c r="O9" s="56">
        <v>30.54</v>
      </c>
      <c r="P9" s="56">
        <v>30.54</v>
      </c>
      <c r="Q9" s="56">
        <v>35.28</v>
      </c>
      <c r="R9" s="56">
        <v>42.99</v>
      </c>
      <c r="S9" s="56">
        <v>33.88</v>
      </c>
      <c r="T9" s="56">
        <v>22.22</v>
      </c>
      <c r="U9" s="56">
        <v>27.98</v>
      </c>
      <c r="V9" s="56">
        <v>37.32</v>
      </c>
      <c r="W9" s="56">
        <v>38.49</v>
      </c>
      <c r="X9" s="56">
        <v>41.22</v>
      </c>
      <c r="Y9" s="56">
        <v>34.35</v>
      </c>
      <c r="Z9" s="56">
        <v>63.18</v>
      </c>
      <c r="AA9" s="56">
        <v>38.1</v>
      </c>
      <c r="AB9" s="56">
        <v>9.88</v>
      </c>
      <c r="AC9" s="56">
        <v>11.44</v>
      </c>
      <c r="AD9" s="56">
        <v>17.04</v>
      </c>
      <c r="AE9" s="56">
        <v>20.21</v>
      </c>
    </row>
    <row r="10" spans="1:31">
      <c r="A10" s="52" t="s">
        <v>87</v>
      </c>
      <c r="B10" s="54" t="s">
        <v>33</v>
      </c>
      <c r="C10" s="54" t="s">
        <v>33</v>
      </c>
      <c r="D10" s="54" t="s">
        <v>33</v>
      </c>
      <c r="E10" s="54" t="s">
        <v>33</v>
      </c>
      <c r="F10" s="54" t="s">
        <v>33</v>
      </c>
      <c r="G10" s="54" t="s">
        <v>33</v>
      </c>
      <c r="H10" s="54" t="s">
        <v>33</v>
      </c>
      <c r="I10" s="54" t="s">
        <v>33</v>
      </c>
      <c r="J10" s="59" t="s">
        <v>35</v>
      </c>
      <c r="K10" s="59" t="s">
        <v>35</v>
      </c>
      <c r="L10" s="57" t="s">
        <v>34</v>
      </c>
      <c r="M10" s="59" t="s">
        <v>35</v>
      </c>
      <c r="N10" s="59" t="s">
        <v>35</v>
      </c>
      <c r="O10" s="59" t="s">
        <v>35</v>
      </c>
      <c r="P10" s="59" t="s">
        <v>35</v>
      </c>
      <c r="Q10" s="57" t="s">
        <v>34</v>
      </c>
      <c r="R10" s="54" t="s">
        <v>33</v>
      </c>
      <c r="S10" s="59" t="s">
        <v>35</v>
      </c>
      <c r="T10" s="59" t="s">
        <v>35</v>
      </c>
      <c r="U10" s="59" t="s">
        <v>35</v>
      </c>
      <c r="V10" s="54" t="s">
        <v>33</v>
      </c>
      <c r="W10" s="57" t="s">
        <v>34</v>
      </c>
      <c r="X10" s="57" t="s">
        <v>34</v>
      </c>
      <c r="Y10" s="59" t="s">
        <v>35</v>
      </c>
      <c r="Z10" s="54" t="s">
        <v>33</v>
      </c>
      <c r="AA10" s="57" t="s">
        <v>34</v>
      </c>
      <c r="AB10" s="57" t="s">
        <v>34</v>
      </c>
      <c r="AC10" s="59" t="s">
        <v>35</v>
      </c>
      <c r="AD10" s="57" t="s">
        <v>34</v>
      </c>
      <c r="AE10" s="59" t="s">
        <v>35</v>
      </c>
    </row>
    <row r="11" spans="1:31">
      <c r="A11" s="55" t="s">
        <v>88</v>
      </c>
      <c r="B11" s="56">
        <v>32.05</v>
      </c>
      <c r="C11" s="56">
        <v>32.05</v>
      </c>
      <c r="D11" s="56">
        <v>32.05</v>
      </c>
      <c r="E11" s="56">
        <v>32.05</v>
      </c>
      <c r="F11" s="56">
        <v>13.58</v>
      </c>
      <c r="G11" s="56">
        <v>2.95</v>
      </c>
      <c r="H11" s="56">
        <v>-2.45</v>
      </c>
      <c r="I11" s="56">
        <v>-4.05</v>
      </c>
      <c r="J11" s="56">
        <v>-10.14</v>
      </c>
      <c r="K11" s="56">
        <v>-11.21</v>
      </c>
      <c r="L11" s="56">
        <v>-9.03</v>
      </c>
      <c r="M11" s="56">
        <v>-11.44</v>
      </c>
      <c r="N11" s="56">
        <v>-12.57</v>
      </c>
      <c r="O11" s="56">
        <v>-12.57</v>
      </c>
      <c r="P11" s="56">
        <v>-12.57</v>
      </c>
      <c r="Q11" s="56">
        <v>-11.96</v>
      </c>
      <c r="R11" s="56">
        <v>-12.87</v>
      </c>
      <c r="S11" s="56">
        <v>-14.98</v>
      </c>
      <c r="T11" s="56">
        <v>-14.79</v>
      </c>
      <c r="U11" s="56">
        <v>-14.14</v>
      </c>
      <c r="V11" s="56">
        <v>-11.99</v>
      </c>
      <c r="W11" s="56">
        <v>-12.63</v>
      </c>
      <c r="X11" s="56">
        <v>-12.92</v>
      </c>
      <c r="Y11" s="56">
        <v>-13.71</v>
      </c>
      <c r="Z11" s="56">
        <v>-13.18</v>
      </c>
      <c r="AA11" s="56">
        <v>-15.93</v>
      </c>
      <c r="AB11" s="56">
        <v>-16.93</v>
      </c>
      <c r="AC11" s="56">
        <v>-15.87</v>
      </c>
      <c r="AD11" s="56">
        <v>-14.39</v>
      </c>
      <c r="AE11" s="56">
        <v>-14.68</v>
      </c>
    </row>
    <row r="12" spans="1:31">
      <c r="A12" s="52" t="s">
        <v>89</v>
      </c>
      <c r="B12" s="56">
        <v>18.19</v>
      </c>
      <c r="C12" s="56">
        <v>18.19</v>
      </c>
      <c r="D12" s="56">
        <v>18.19</v>
      </c>
      <c r="E12" s="56">
        <v>18.19</v>
      </c>
      <c r="F12" s="56">
        <v>1.34</v>
      </c>
      <c r="G12" s="56">
        <v>-8.44</v>
      </c>
      <c r="H12" s="56">
        <v>-9.72</v>
      </c>
      <c r="I12" s="56">
        <v>-10.6</v>
      </c>
      <c r="J12" s="56">
        <v>-14.49</v>
      </c>
      <c r="K12" s="56">
        <v>-16.56</v>
      </c>
      <c r="L12" s="56">
        <v>-15.65</v>
      </c>
      <c r="M12" s="56">
        <v>-17.96</v>
      </c>
      <c r="N12" s="56">
        <v>-19.08</v>
      </c>
      <c r="O12" s="56">
        <v>-19.08</v>
      </c>
      <c r="P12" s="56">
        <v>-19.08</v>
      </c>
      <c r="Q12" s="56">
        <v>-18.72</v>
      </c>
      <c r="R12" s="56">
        <v>-18.28</v>
      </c>
      <c r="S12" s="56">
        <v>-20.06</v>
      </c>
      <c r="T12" s="56">
        <v>-18.31</v>
      </c>
      <c r="U12" s="56">
        <v>-18.32</v>
      </c>
      <c r="V12" s="56">
        <v>-17.44</v>
      </c>
      <c r="W12" s="56">
        <v>-18.44</v>
      </c>
      <c r="X12" s="56">
        <v>-17.67</v>
      </c>
      <c r="Y12" s="56">
        <v>-14.96</v>
      </c>
      <c r="Z12" s="56">
        <v>-11.7</v>
      </c>
      <c r="AA12" s="56">
        <v>-15.89</v>
      </c>
      <c r="AB12" s="56">
        <v>-16.48</v>
      </c>
      <c r="AC12" s="56">
        <v>-16.57</v>
      </c>
      <c r="AD12" s="56">
        <v>-15.28</v>
      </c>
      <c r="AE12" s="56">
        <v>-14.4</v>
      </c>
    </row>
    <row r="13" spans="1:31">
      <c r="A13" s="55" t="s">
        <v>90</v>
      </c>
      <c r="B13" s="56">
        <v>99.48</v>
      </c>
      <c r="C13" s="56">
        <v>99.48</v>
      </c>
      <c r="D13" s="56">
        <v>99.48</v>
      </c>
      <c r="E13" s="56">
        <v>99.48</v>
      </c>
      <c r="F13" s="56">
        <v>98.62</v>
      </c>
      <c r="G13" s="56">
        <v>96</v>
      </c>
      <c r="H13" s="56">
        <v>91.4</v>
      </c>
      <c r="I13" s="56">
        <v>88.09</v>
      </c>
      <c r="J13" s="56">
        <v>30.34</v>
      </c>
      <c r="K13" s="56">
        <v>39.51</v>
      </c>
      <c r="L13" s="56">
        <v>58.67</v>
      </c>
      <c r="M13" s="56">
        <v>28.04</v>
      </c>
      <c r="N13" s="56">
        <v>29.98</v>
      </c>
      <c r="O13" s="56">
        <v>29.98</v>
      </c>
      <c r="P13" s="56">
        <v>29.98</v>
      </c>
      <c r="Q13" s="56">
        <v>54.57</v>
      </c>
      <c r="R13" s="56">
        <v>69.45</v>
      </c>
      <c r="S13" s="56">
        <v>37.43</v>
      </c>
      <c r="T13" s="56">
        <v>35.11</v>
      </c>
      <c r="U13" s="56">
        <v>33.41</v>
      </c>
      <c r="V13" s="56">
        <v>64.26</v>
      </c>
      <c r="W13" s="56">
        <v>53.41</v>
      </c>
      <c r="X13" s="56">
        <v>55.28</v>
      </c>
      <c r="Y13" s="56">
        <v>38.88</v>
      </c>
      <c r="Z13" s="56">
        <v>86.18</v>
      </c>
      <c r="AA13" s="56">
        <v>49.2</v>
      </c>
      <c r="AB13" s="56">
        <v>6.86</v>
      </c>
      <c r="AC13" s="56">
        <v>3.02</v>
      </c>
      <c r="AD13" s="56">
        <v>6.93</v>
      </c>
      <c r="AE13" s="56">
        <v>7.65</v>
      </c>
    </row>
    <row r="14" spans="1:31">
      <c r="A14" s="52" t="s">
        <v>91</v>
      </c>
      <c r="B14" s="54" t="s">
        <v>33</v>
      </c>
      <c r="C14" s="54" t="s">
        <v>33</v>
      </c>
      <c r="D14" s="54" t="s">
        <v>33</v>
      </c>
      <c r="E14" s="54" t="s">
        <v>33</v>
      </c>
      <c r="F14" s="54" t="s">
        <v>33</v>
      </c>
      <c r="G14" s="54" t="s">
        <v>33</v>
      </c>
      <c r="H14" s="54" t="s">
        <v>33</v>
      </c>
      <c r="I14" s="54" t="s">
        <v>33</v>
      </c>
      <c r="J14" s="54" t="s">
        <v>33</v>
      </c>
      <c r="K14" s="54" t="s">
        <v>33</v>
      </c>
      <c r="L14" s="54" t="s">
        <v>33</v>
      </c>
      <c r="M14" s="54" t="s">
        <v>33</v>
      </c>
      <c r="N14" s="54" t="s">
        <v>33</v>
      </c>
      <c r="O14" s="54" t="s">
        <v>33</v>
      </c>
      <c r="P14" s="57" t="s">
        <v>34</v>
      </c>
      <c r="Q14" s="57" t="s">
        <v>34</v>
      </c>
      <c r="R14" s="59" t="s">
        <v>35</v>
      </c>
      <c r="S14" s="59" t="s">
        <v>35</v>
      </c>
      <c r="T14" s="59" t="s">
        <v>35</v>
      </c>
      <c r="U14" s="59" t="s">
        <v>35</v>
      </c>
      <c r="V14" s="59" t="s">
        <v>35</v>
      </c>
      <c r="W14" s="59" t="s">
        <v>35</v>
      </c>
      <c r="X14" s="57" t="s">
        <v>34</v>
      </c>
      <c r="Y14" s="57" t="s">
        <v>34</v>
      </c>
      <c r="Z14" s="54" t="s">
        <v>33</v>
      </c>
      <c r="AA14" s="57" t="s">
        <v>34</v>
      </c>
      <c r="AB14" s="57" t="s">
        <v>34</v>
      </c>
      <c r="AC14" s="54" t="s">
        <v>33</v>
      </c>
      <c r="AD14" s="54" t="s">
        <v>33</v>
      </c>
      <c r="AE14" s="57" t="s">
        <v>34</v>
      </c>
    </row>
    <row r="15" spans="1:31">
      <c r="A15" s="55" t="s">
        <v>92</v>
      </c>
      <c r="B15" s="56">
        <v>26.19</v>
      </c>
      <c r="C15" s="56">
        <v>26.09</v>
      </c>
      <c r="D15" s="56">
        <v>17.23</v>
      </c>
      <c r="E15" s="56">
        <v>17.23</v>
      </c>
      <c r="F15" s="56">
        <v>14.76</v>
      </c>
      <c r="G15" s="56">
        <v>12.13</v>
      </c>
      <c r="H15" s="56">
        <v>7.96</v>
      </c>
      <c r="I15" s="56">
        <v>7.25</v>
      </c>
      <c r="J15" s="56">
        <v>0.87</v>
      </c>
      <c r="K15" s="56">
        <v>1.03</v>
      </c>
      <c r="L15" s="56">
        <v>-0.08</v>
      </c>
      <c r="M15" s="56">
        <v>-2.04</v>
      </c>
      <c r="N15" s="56">
        <v>-2.04</v>
      </c>
      <c r="O15" s="56">
        <v>-4.98</v>
      </c>
      <c r="P15" s="56">
        <v>-5.76</v>
      </c>
      <c r="Q15" s="56">
        <v>-3.77</v>
      </c>
      <c r="R15" s="56">
        <v>-4.61</v>
      </c>
      <c r="S15" s="56">
        <v>-3.94</v>
      </c>
      <c r="T15" s="56">
        <v>-5.06</v>
      </c>
      <c r="U15" s="56">
        <v>-2.75</v>
      </c>
      <c r="V15" s="56">
        <v>-2.75</v>
      </c>
      <c r="W15" s="56">
        <v>-3.96</v>
      </c>
      <c r="X15" s="56">
        <v>-3.9</v>
      </c>
      <c r="Y15" s="56">
        <v>-4.25</v>
      </c>
      <c r="Z15" s="56">
        <v>-2.37</v>
      </c>
      <c r="AA15" s="56">
        <v>-3.57</v>
      </c>
      <c r="AB15" s="56">
        <v>-3.86</v>
      </c>
      <c r="AC15" s="56">
        <v>-1.13</v>
      </c>
      <c r="AD15" s="56">
        <v>-2.37</v>
      </c>
      <c r="AE15" s="56">
        <v>-4.68</v>
      </c>
    </row>
    <row r="16" spans="1:31">
      <c r="A16" s="55" t="s">
        <v>93</v>
      </c>
      <c r="B16" s="56">
        <v>31.41</v>
      </c>
      <c r="C16" s="56">
        <v>34.13</v>
      </c>
      <c r="D16" s="56">
        <v>26.37</v>
      </c>
      <c r="E16" s="56">
        <v>26.37</v>
      </c>
      <c r="F16" s="56">
        <v>23.36</v>
      </c>
      <c r="G16" s="56">
        <v>17.68</v>
      </c>
      <c r="H16" s="56">
        <v>15.64</v>
      </c>
      <c r="I16" s="56">
        <v>15.91</v>
      </c>
      <c r="J16" s="56">
        <v>9.8</v>
      </c>
      <c r="K16" s="56">
        <v>10.84</v>
      </c>
      <c r="L16" s="56">
        <v>9.17</v>
      </c>
      <c r="M16" s="56">
        <v>4.73</v>
      </c>
      <c r="N16" s="56">
        <v>4.73</v>
      </c>
      <c r="O16" s="56">
        <v>5.31</v>
      </c>
      <c r="P16" s="56">
        <v>5.08</v>
      </c>
      <c r="Q16" s="56">
        <v>3.01</v>
      </c>
      <c r="R16" s="56">
        <v>2.32</v>
      </c>
      <c r="S16" s="56">
        <v>1.61</v>
      </c>
      <c r="T16" s="56">
        <v>0.67</v>
      </c>
      <c r="U16" s="56">
        <v>2.05</v>
      </c>
      <c r="V16" s="56">
        <v>2.05</v>
      </c>
      <c r="W16" s="56">
        <v>5.24</v>
      </c>
      <c r="X16" s="56">
        <v>7.94</v>
      </c>
      <c r="Y16" s="56">
        <v>9.01</v>
      </c>
      <c r="Z16" s="56">
        <v>9.44</v>
      </c>
      <c r="AA16" s="56">
        <v>10.05</v>
      </c>
      <c r="AB16" s="56">
        <v>6.61</v>
      </c>
      <c r="AC16" s="56">
        <v>7.75</v>
      </c>
      <c r="AD16" s="56">
        <v>7.8</v>
      </c>
      <c r="AE16" s="56">
        <v>6.5</v>
      </c>
    </row>
    <row r="17" spans="1:31">
      <c r="A17" s="55" t="s">
        <v>94</v>
      </c>
      <c r="B17" s="56">
        <v>85.84</v>
      </c>
      <c r="C17" s="56">
        <v>99.57</v>
      </c>
      <c r="D17" s="56">
        <v>99.18</v>
      </c>
      <c r="E17" s="56">
        <v>99.18</v>
      </c>
      <c r="F17" s="56">
        <v>98.89</v>
      </c>
      <c r="G17" s="56">
        <v>98.23</v>
      </c>
      <c r="H17" s="56">
        <v>96.44</v>
      </c>
      <c r="I17" s="56">
        <v>95.94</v>
      </c>
      <c r="J17" s="56">
        <v>89.48</v>
      </c>
      <c r="K17" s="56">
        <v>91.13</v>
      </c>
      <c r="L17" s="56">
        <v>87.39</v>
      </c>
      <c r="M17" s="56">
        <v>76.86</v>
      </c>
      <c r="N17" s="56">
        <v>76.86</v>
      </c>
      <c r="O17" s="56">
        <v>59.96</v>
      </c>
      <c r="P17" s="56">
        <v>54.39</v>
      </c>
      <c r="Q17" s="56">
        <v>38.93</v>
      </c>
      <c r="R17" s="56">
        <v>17.46</v>
      </c>
      <c r="S17" s="56">
        <v>23.32</v>
      </c>
      <c r="T17" s="56">
        <v>17.15</v>
      </c>
      <c r="U17" s="56">
        <v>28.67</v>
      </c>
      <c r="V17" s="56">
        <v>28.67</v>
      </c>
      <c r="W17" s="56">
        <v>29.45</v>
      </c>
      <c r="X17" s="56">
        <v>42.37</v>
      </c>
      <c r="Y17" s="56">
        <v>45.49</v>
      </c>
      <c r="Z17" s="56">
        <v>76.49</v>
      </c>
      <c r="AA17" s="56">
        <v>63.9</v>
      </c>
      <c r="AB17" s="56">
        <v>55.65</v>
      </c>
      <c r="AC17" s="56">
        <v>83.4</v>
      </c>
      <c r="AD17" s="56">
        <v>80.33</v>
      </c>
      <c r="AE17" s="56">
        <v>70.19</v>
      </c>
    </row>
    <row r="18" spans="1:31">
      <c r="A18" s="52" t="s">
        <v>95</v>
      </c>
      <c r="B18" s="57" t="s">
        <v>34</v>
      </c>
      <c r="C18" s="57" t="s">
        <v>34</v>
      </c>
      <c r="D18" s="57" t="s">
        <v>34</v>
      </c>
      <c r="E18" s="57" t="s">
        <v>34</v>
      </c>
      <c r="F18" s="57" t="s">
        <v>34</v>
      </c>
      <c r="G18" s="57" t="s">
        <v>34</v>
      </c>
      <c r="H18" s="57" t="s">
        <v>34</v>
      </c>
      <c r="I18" s="54" t="s">
        <v>33</v>
      </c>
      <c r="J18" s="54" t="s">
        <v>33</v>
      </c>
      <c r="K18" s="54" t="s">
        <v>33</v>
      </c>
      <c r="L18" s="54" t="s">
        <v>33</v>
      </c>
      <c r="M18" s="57" t="s">
        <v>34</v>
      </c>
      <c r="N18" s="54" t="s">
        <v>33</v>
      </c>
      <c r="O18" s="54" t="s">
        <v>33</v>
      </c>
      <c r="P18" s="54" t="s">
        <v>33</v>
      </c>
      <c r="Q18" s="54" t="s">
        <v>33</v>
      </c>
      <c r="R18" s="54" t="s">
        <v>33</v>
      </c>
      <c r="S18" s="57" t="s">
        <v>34</v>
      </c>
      <c r="T18" s="59" t="s">
        <v>35</v>
      </c>
      <c r="U18" s="59" t="s">
        <v>35</v>
      </c>
      <c r="V18" s="59" t="s">
        <v>35</v>
      </c>
      <c r="W18" s="59" t="s">
        <v>35</v>
      </c>
      <c r="X18" s="59" t="s">
        <v>35</v>
      </c>
      <c r="Y18" s="57" t="s">
        <v>34</v>
      </c>
      <c r="Z18" s="57" t="s">
        <v>34</v>
      </c>
      <c r="AA18" s="57" t="s">
        <v>34</v>
      </c>
      <c r="AB18" s="57" t="s">
        <v>34</v>
      </c>
      <c r="AC18" s="57" t="s">
        <v>34</v>
      </c>
      <c r="AD18" s="57" t="s">
        <v>34</v>
      </c>
      <c r="AE18" s="57" t="s">
        <v>34</v>
      </c>
    </row>
    <row r="19" spans="1:31">
      <c r="A19" s="52" t="s">
        <v>96</v>
      </c>
      <c r="B19" s="56">
        <v>2.38</v>
      </c>
      <c r="C19" s="56">
        <v>2.38</v>
      </c>
      <c r="D19" s="56">
        <v>2.44</v>
      </c>
      <c r="E19" s="56">
        <v>3.51</v>
      </c>
      <c r="F19" s="56">
        <v>3.63</v>
      </c>
      <c r="G19" s="56">
        <v>4.29</v>
      </c>
      <c r="H19" s="56">
        <v>4.51</v>
      </c>
      <c r="I19" s="56">
        <v>4.99</v>
      </c>
      <c r="J19" s="56">
        <v>4.3</v>
      </c>
      <c r="K19" s="56">
        <v>4.1</v>
      </c>
      <c r="L19" s="56">
        <v>4.47</v>
      </c>
      <c r="M19" s="56">
        <v>3.13</v>
      </c>
      <c r="N19" s="56">
        <v>3.11</v>
      </c>
      <c r="O19" s="56">
        <v>2.92</v>
      </c>
      <c r="P19" s="56">
        <v>2.53</v>
      </c>
      <c r="Q19" s="56">
        <v>2.24</v>
      </c>
      <c r="R19" s="56">
        <v>2.26</v>
      </c>
      <c r="S19" s="56">
        <v>1.14</v>
      </c>
      <c r="T19" s="56">
        <v>0.92</v>
      </c>
      <c r="U19" s="56">
        <v>0.62</v>
      </c>
      <c r="V19" s="56">
        <v>2.66</v>
      </c>
      <c r="W19" s="56">
        <v>3.24</v>
      </c>
      <c r="X19" s="56">
        <v>3.29</v>
      </c>
      <c r="Y19" s="56">
        <v>5.5</v>
      </c>
      <c r="Z19" s="56">
        <v>5.5</v>
      </c>
      <c r="AA19" s="56">
        <v>5.68</v>
      </c>
      <c r="AB19" s="56">
        <v>5.84</v>
      </c>
      <c r="AC19" s="56">
        <v>6.6</v>
      </c>
      <c r="AD19" s="56">
        <v>7.28</v>
      </c>
      <c r="AE19" s="56">
        <v>6.98</v>
      </c>
    </row>
    <row r="20" spans="1:31">
      <c r="A20" s="52" t="s">
        <v>97</v>
      </c>
      <c r="B20" s="56">
        <v>9.82</v>
      </c>
      <c r="C20" s="56">
        <v>9.82</v>
      </c>
      <c r="D20" s="56">
        <v>10.62</v>
      </c>
      <c r="E20" s="56">
        <v>10.61</v>
      </c>
      <c r="F20" s="56">
        <v>10.3</v>
      </c>
      <c r="G20" s="56">
        <v>10.4</v>
      </c>
      <c r="H20" s="56">
        <v>11.17</v>
      </c>
      <c r="I20" s="56">
        <v>10.01</v>
      </c>
      <c r="J20" s="56">
        <v>9.85</v>
      </c>
      <c r="K20" s="56">
        <v>8.75</v>
      </c>
      <c r="L20" s="56">
        <v>8.74</v>
      </c>
      <c r="M20" s="56">
        <v>7.05</v>
      </c>
      <c r="N20" s="56">
        <v>8.28</v>
      </c>
      <c r="O20" s="56">
        <v>7.95</v>
      </c>
      <c r="P20" s="56">
        <v>7.49</v>
      </c>
      <c r="Q20" s="56">
        <v>6.76</v>
      </c>
      <c r="R20" s="56">
        <v>6.31</v>
      </c>
      <c r="S20" s="56">
        <v>6.12</v>
      </c>
      <c r="T20" s="56">
        <v>6.25</v>
      </c>
      <c r="U20" s="56">
        <v>5.69</v>
      </c>
      <c r="V20" s="56">
        <v>6.85</v>
      </c>
      <c r="W20" s="56">
        <v>6.87</v>
      </c>
      <c r="X20" s="56">
        <v>6.83</v>
      </c>
      <c r="Y20" s="56">
        <v>10.36</v>
      </c>
      <c r="Z20" s="56">
        <v>10.36</v>
      </c>
      <c r="AA20" s="56">
        <v>9.14</v>
      </c>
      <c r="AB20" s="56">
        <v>8.43</v>
      </c>
      <c r="AC20" s="56">
        <v>10.21</v>
      </c>
      <c r="AD20" s="56">
        <v>10.6</v>
      </c>
      <c r="AE20" s="56">
        <v>9.82</v>
      </c>
    </row>
    <row r="21" spans="1:31">
      <c r="A21" s="52" t="s">
        <v>98</v>
      </c>
      <c r="B21" s="56">
        <v>23.93</v>
      </c>
      <c r="C21" s="56">
        <v>23.93</v>
      </c>
      <c r="D21" s="56">
        <v>22.27</v>
      </c>
      <c r="E21" s="56">
        <v>86.19</v>
      </c>
      <c r="F21" s="56">
        <v>60.63</v>
      </c>
      <c r="G21" s="56">
        <v>83.51</v>
      </c>
      <c r="H21" s="56">
        <v>58.19</v>
      </c>
      <c r="I21" s="56">
        <v>90.16</v>
      </c>
      <c r="J21" s="56">
        <v>84.39</v>
      </c>
      <c r="K21" s="56">
        <v>76.79</v>
      </c>
      <c r="L21" s="56">
        <v>92.34</v>
      </c>
      <c r="M21" s="56">
        <v>40.89</v>
      </c>
      <c r="N21" s="56">
        <v>96.09</v>
      </c>
      <c r="O21" s="56">
        <v>95.83</v>
      </c>
      <c r="P21" s="56">
        <v>95.06</v>
      </c>
      <c r="Q21" s="56">
        <v>91.83</v>
      </c>
      <c r="R21" s="56">
        <v>85.17</v>
      </c>
      <c r="S21" s="56">
        <v>65.2</v>
      </c>
      <c r="T21" s="56">
        <v>51.58</v>
      </c>
      <c r="U21" s="56">
        <v>3</v>
      </c>
      <c r="V21" s="56">
        <v>12.54</v>
      </c>
      <c r="W21" s="56">
        <v>17.38</v>
      </c>
      <c r="X21" s="56">
        <v>19.37</v>
      </c>
      <c r="Y21" s="56">
        <v>85.14</v>
      </c>
      <c r="Z21" s="56">
        <v>85.14</v>
      </c>
      <c r="AA21" s="56">
        <v>24.99</v>
      </c>
      <c r="AB21" s="56">
        <v>25.19</v>
      </c>
      <c r="AC21" s="56">
        <v>64.23</v>
      </c>
      <c r="AD21" s="56">
        <v>54.92</v>
      </c>
      <c r="AE21" s="56">
        <v>74.03</v>
      </c>
    </row>
    <row r="22" spans="1:31">
      <c r="A22" s="52" t="s">
        <v>99</v>
      </c>
      <c r="B22" s="57" t="s">
        <v>34</v>
      </c>
      <c r="C22" s="57" t="s">
        <v>34</v>
      </c>
      <c r="D22" s="57" t="s">
        <v>34</v>
      </c>
      <c r="E22" s="57" t="s">
        <v>34</v>
      </c>
      <c r="F22" s="57" t="s">
        <v>34</v>
      </c>
      <c r="G22" s="57" t="s">
        <v>34</v>
      </c>
      <c r="H22" s="57" t="s">
        <v>34</v>
      </c>
      <c r="I22" s="54" t="s">
        <v>33</v>
      </c>
      <c r="J22" s="54" t="s">
        <v>33</v>
      </c>
      <c r="K22" s="54" t="s">
        <v>33</v>
      </c>
      <c r="L22" s="54" t="s">
        <v>33</v>
      </c>
      <c r="M22" s="54" t="s">
        <v>33</v>
      </c>
      <c r="N22" s="54" t="s">
        <v>33</v>
      </c>
      <c r="O22" s="54" t="s">
        <v>33</v>
      </c>
      <c r="P22" s="54" t="s">
        <v>33</v>
      </c>
      <c r="Q22" s="54" t="s">
        <v>33</v>
      </c>
      <c r="R22" s="54" t="s">
        <v>33</v>
      </c>
      <c r="S22" s="59" t="s">
        <v>35</v>
      </c>
      <c r="T22" s="57" t="s">
        <v>34</v>
      </c>
      <c r="U22" s="59" t="s">
        <v>35</v>
      </c>
      <c r="V22" s="59" t="s">
        <v>35</v>
      </c>
      <c r="W22" s="57" t="s">
        <v>34</v>
      </c>
      <c r="X22" s="57" t="s">
        <v>34</v>
      </c>
      <c r="Y22" s="54" t="s">
        <v>33</v>
      </c>
      <c r="Z22" s="54" t="s">
        <v>33</v>
      </c>
      <c r="AA22" s="57" t="s">
        <v>34</v>
      </c>
      <c r="AB22" s="57" t="s">
        <v>34</v>
      </c>
      <c r="AC22" s="57" t="s">
        <v>34</v>
      </c>
      <c r="AD22" s="54" t="s">
        <v>33</v>
      </c>
      <c r="AE22" s="54" t="s">
        <v>33</v>
      </c>
    </row>
    <row r="23" spans="1:31">
      <c r="A23" s="52" t="s">
        <v>100</v>
      </c>
      <c r="B23" s="56">
        <v>7.39</v>
      </c>
      <c r="C23" s="56">
        <v>7.39</v>
      </c>
      <c r="D23" s="56">
        <v>7.15</v>
      </c>
      <c r="E23" s="56">
        <v>7.5</v>
      </c>
      <c r="F23" s="56">
        <v>7.64</v>
      </c>
      <c r="G23" s="56">
        <v>7.23</v>
      </c>
      <c r="H23" s="56">
        <v>7.01</v>
      </c>
      <c r="I23" s="56">
        <v>7.9</v>
      </c>
      <c r="J23" s="56">
        <v>7.56</v>
      </c>
      <c r="K23" s="56">
        <v>7.5</v>
      </c>
      <c r="L23" s="56">
        <v>7.45</v>
      </c>
      <c r="M23" s="56">
        <v>5.31</v>
      </c>
      <c r="N23" s="56">
        <v>6.27</v>
      </c>
      <c r="O23" s="56">
        <v>6.36</v>
      </c>
      <c r="P23" s="56">
        <v>6.59</v>
      </c>
      <c r="Q23" s="56">
        <v>5.98</v>
      </c>
      <c r="R23" s="56">
        <v>5.89</v>
      </c>
      <c r="S23" s="56">
        <v>5.41</v>
      </c>
      <c r="T23" s="56">
        <v>5.47</v>
      </c>
      <c r="U23" s="56">
        <v>4.12</v>
      </c>
      <c r="V23" s="56">
        <v>4.86</v>
      </c>
      <c r="W23" s="56">
        <v>5.61</v>
      </c>
      <c r="X23" s="56">
        <v>5.27</v>
      </c>
      <c r="Y23" s="56">
        <v>7.1</v>
      </c>
      <c r="Z23" s="56">
        <v>7.1</v>
      </c>
      <c r="AA23" s="56">
        <v>6.78</v>
      </c>
      <c r="AB23" s="56">
        <v>6.53</v>
      </c>
      <c r="AC23" s="56">
        <v>6.63</v>
      </c>
      <c r="AD23" s="56">
        <v>8.21</v>
      </c>
      <c r="AE23" s="56">
        <v>7.11</v>
      </c>
    </row>
    <row r="24" spans="1:31">
      <c r="A24" s="52" t="s">
        <v>101</v>
      </c>
      <c r="B24" s="56">
        <v>9.72</v>
      </c>
      <c r="C24" s="56">
        <v>9.72</v>
      </c>
      <c r="D24" s="56">
        <v>9.61</v>
      </c>
      <c r="E24" s="56">
        <v>8.86</v>
      </c>
      <c r="F24" s="56">
        <v>8.79</v>
      </c>
      <c r="G24" s="56">
        <v>8.41</v>
      </c>
      <c r="H24" s="56">
        <v>8.6</v>
      </c>
      <c r="I24" s="56">
        <v>7.87</v>
      </c>
      <c r="J24" s="56">
        <v>7.54</v>
      </c>
      <c r="K24" s="56">
        <v>6.31</v>
      </c>
      <c r="L24" s="56">
        <v>5.57</v>
      </c>
      <c r="M24" s="56">
        <v>4.38</v>
      </c>
      <c r="N24" s="56">
        <v>5.92</v>
      </c>
      <c r="O24" s="56">
        <v>5.87</v>
      </c>
      <c r="P24" s="56">
        <v>4.86</v>
      </c>
      <c r="Q24" s="56">
        <v>3.31</v>
      </c>
      <c r="R24" s="56">
        <v>3.42</v>
      </c>
      <c r="S24" s="56">
        <v>4.16</v>
      </c>
      <c r="T24" s="56">
        <v>5.26</v>
      </c>
      <c r="U24" s="56">
        <v>4.21</v>
      </c>
      <c r="V24" s="56">
        <v>4.76</v>
      </c>
      <c r="W24" s="56">
        <v>4.95</v>
      </c>
      <c r="X24" s="56">
        <v>4.95</v>
      </c>
      <c r="Y24" s="56">
        <v>7.21</v>
      </c>
      <c r="Z24" s="56">
        <v>7.21</v>
      </c>
      <c r="AA24" s="56">
        <v>6.75</v>
      </c>
      <c r="AB24" s="56">
        <v>5.93</v>
      </c>
      <c r="AC24" s="56">
        <v>6.7</v>
      </c>
      <c r="AD24" s="56">
        <v>6.88</v>
      </c>
      <c r="AE24" s="56">
        <v>5.6</v>
      </c>
    </row>
    <row r="25" spans="1:31">
      <c r="A25" s="52" t="s">
        <v>102</v>
      </c>
      <c r="B25" s="56">
        <v>52.09</v>
      </c>
      <c r="C25" s="56">
        <v>52.09</v>
      </c>
      <c r="D25" s="56">
        <v>45.5</v>
      </c>
      <c r="E25" s="56">
        <v>76.02</v>
      </c>
      <c r="F25" s="56">
        <v>74.91</v>
      </c>
      <c r="G25" s="56">
        <v>66.62</v>
      </c>
      <c r="H25" s="56">
        <v>42.84</v>
      </c>
      <c r="I25" s="56">
        <v>92.18</v>
      </c>
      <c r="J25" s="56">
        <v>89.99</v>
      </c>
      <c r="K25" s="56">
        <v>88.4</v>
      </c>
      <c r="L25" s="56">
        <v>87.58</v>
      </c>
      <c r="M25" s="56">
        <v>65.31</v>
      </c>
      <c r="N25" s="56">
        <v>85.49</v>
      </c>
      <c r="O25" s="56">
        <v>88.3</v>
      </c>
      <c r="P25" s="56">
        <v>82.94</v>
      </c>
      <c r="Q25" s="56">
        <v>71.68</v>
      </c>
      <c r="R25" s="56">
        <v>56.57</v>
      </c>
      <c r="S25" s="56">
        <v>46.45</v>
      </c>
      <c r="T25" s="56">
        <v>52.5</v>
      </c>
      <c r="U25" s="56">
        <v>13.02</v>
      </c>
      <c r="V25" s="56">
        <v>24.55</v>
      </c>
      <c r="W25" s="56">
        <v>35.87</v>
      </c>
      <c r="X25" s="56">
        <v>32.25</v>
      </c>
      <c r="Y25" s="56">
        <v>84.46</v>
      </c>
      <c r="Z25" s="56">
        <v>84.46</v>
      </c>
      <c r="AA25" s="56">
        <v>74.4</v>
      </c>
      <c r="AB25" s="56">
        <v>52.49</v>
      </c>
      <c r="AC25" s="56">
        <v>83.64</v>
      </c>
      <c r="AD25" s="56">
        <v>83.23</v>
      </c>
      <c r="AE25" s="56">
        <v>81.13</v>
      </c>
    </row>
    <row r="26" spans="1:31">
      <c r="A26" s="52" t="s">
        <v>103</v>
      </c>
      <c r="B26" s="57" t="s">
        <v>34</v>
      </c>
      <c r="C26" s="57" t="s">
        <v>34</v>
      </c>
      <c r="D26" s="57" t="s">
        <v>34</v>
      </c>
      <c r="E26" s="57" t="s">
        <v>34</v>
      </c>
      <c r="F26" s="57" t="s">
        <v>34</v>
      </c>
      <c r="G26" s="54" t="s">
        <v>33</v>
      </c>
      <c r="H26" s="57" t="s">
        <v>34</v>
      </c>
      <c r="I26" s="54" t="s">
        <v>33</v>
      </c>
      <c r="J26" s="54" t="s">
        <v>33</v>
      </c>
      <c r="K26" s="54" t="s">
        <v>33</v>
      </c>
      <c r="L26" s="54" t="s">
        <v>33</v>
      </c>
      <c r="M26" s="57" t="s">
        <v>34</v>
      </c>
      <c r="N26" s="54" t="s">
        <v>33</v>
      </c>
      <c r="O26" s="54" t="s">
        <v>33</v>
      </c>
      <c r="P26" s="54" t="s">
        <v>33</v>
      </c>
      <c r="Q26" s="54" t="s">
        <v>33</v>
      </c>
      <c r="R26" s="54" t="s">
        <v>33</v>
      </c>
      <c r="S26" s="57" t="s">
        <v>34</v>
      </c>
      <c r="T26" s="59" t="s">
        <v>35</v>
      </c>
      <c r="U26" s="59" t="s">
        <v>35</v>
      </c>
      <c r="V26" s="59" t="s">
        <v>35</v>
      </c>
      <c r="W26" s="59" t="s">
        <v>35</v>
      </c>
      <c r="X26" s="59" t="s">
        <v>35</v>
      </c>
      <c r="Y26" s="57" t="s">
        <v>34</v>
      </c>
      <c r="Z26" s="57" t="s">
        <v>34</v>
      </c>
      <c r="AA26" s="59" t="s">
        <v>35</v>
      </c>
      <c r="AB26" s="59" t="s">
        <v>35</v>
      </c>
      <c r="AC26" s="57" t="s">
        <v>34</v>
      </c>
      <c r="AD26" s="57" t="s">
        <v>34</v>
      </c>
      <c r="AE26" s="57" t="s">
        <v>34</v>
      </c>
    </row>
    <row r="27" spans="1:31">
      <c r="A27" s="52" t="s">
        <v>104</v>
      </c>
      <c r="B27" s="56">
        <v>-2.74</v>
      </c>
      <c r="C27" s="56">
        <v>-2.74</v>
      </c>
      <c r="D27" s="56">
        <v>-2.68</v>
      </c>
      <c r="E27" s="56">
        <v>-0.89</v>
      </c>
      <c r="F27" s="56">
        <v>-0.38</v>
      </c>
      <c r="G27" s="56">
        <v>0.9</v>
      </c>
      <c r="H27" s="56">
        <v>1.13</v>
      </c>
      <c r="I27" s="56">
        <v>1.93</v>
      </c>
      <c r="J27" s="56">
        <v>0.65</v>
      </c>
      <c r="K27" s="56">
        <v>0.8</v>
      </c>
      <c r="L27" s="56">
        <v>1.67</v>
      </c>
      <c r="M27" s="56">
        <v>0.44</v>
      </c>
      <c r="N27" s="56">
        <v>-0.35</v>
      </c>
      <c r="O27" s="56">
        <v>-0.73</v>
      </c>
      <c r="P27" s="56">
        <v>-1</v>
      </c>
      <c r="Q27" s="56">
        <v>-1.61</v>
      </c>
      <c r="R27" s="56">
        <v>-1.66</v>
      </c>
      <c r="S27" s="56">
        <v>-3.63</v>
      </c>
      <c r="T27" s="56">
        <v>-4.11</v>
      </c>
      <c r="U27" s="56">
        <v>-3.76</v>
      </c>
      <c r="V27" s="56">
        <v>-0.38</v>
      </c>
      <c r="W27" s="56">
        <v>-0.28</v>
      </c>
      <c r="X27" s="56">
        <v>-0.21</v>
      </c>
      <c r="Y27" s="56">
        <v>3.06</v>
      </c>
      <c r="Z27" s="56">
        <v>3.06</v>
      </c>
      <c r="AA27" s="56">
        <v>3.91</v>
      </c>
      <c r="AB27" s="56">
        <v>4.32</v>
      </c>
      <c r="AC27" s="56">
        <v>6.09</v>
      </c>
      <c r="AD27" s="56">
        <v>5.91</v>
      </c>
      <c r="AE27" s="56">
        <v>5.66</v>
      </c>
    </row>
    <row r="28" spans="1:31">
      <c r="A28" s="52" t="s">
        <v>105</v>
      </c>
      <c r="B28" s="56">
        <v>9.02</v>
      </c>
      <c r="C28" s="56">
        <v>9.02</v>
      </c>
      <c r="D28" s="56">
        <v>10.76</v>
      </c>
      <c r="E28" s="56">
        <v>11.54</v>
      </c>
      <c r="F28" s="56">
        <v>11.48</v>
      </c>
      <c r="G28" s="56">
        <v>11.95</v>
      </c>
      <c r="H28" s="56">
        <v>12.67</v>
      </c>
      <c r="I28" s="56">
        <v>11.04</v>
      </c>
      <c r="J28" s="56">
        <v>10.68</v>
      </c>
      <c r="K28" s="56">
        <v>9.46</v>
      </c>
      <c r="L28" s="56">
        <v>9.98</v>
      </c>
      <c r="M28" s="56">
        <v>7.16</v>
      </c>
      <c r="N28" s="56">
        <v>8.04</v>
      </c>
      <c r="O28" s="56">
        <v>7.37</v>
      </c>
      <c r="P28" s="56">
        <v>7.64</v>
      </c>
      <c r="Q28" s="56">
        <v>7.12</v>
      </c>
      <c r="R28" s="56">
        <v>6.27</v>
      </c>
      <c r="S28" s="56">
        <v>5.31</v>
      </c>
      <c r="T28" s="56">
        <v>4.85</v>
      </c>
      <c r="U28" s="56">
        <v>4.49</v>
      </c>
      <c r="V28" s="56">
        <v>6.19</v>
      </c>
      <c r="W28" s="56">
        <v>5.6</v>
      </c>
      <c r="X28" s="56">
        <v>5.35</v>
      </c>
      <c r="Y28" s="56">
        <v>10.58</v>
      </c>
      <c r="Z28" s="56">
        <v>10.58</v>
      </c>
      <c r="AA28" s="56">
        <v>8.9</v>
      </c>
      <c r="AB28" s="56">
        <v>7.88</v>
      </c>
      <c r="AC28" s="56">
        <v>10.75</v>
      </c>
      <c r="AD28" s="56">
        <v>11.21</v>
      </c>
      <c r="AE28" s="56">
        <v>10.31</v>
      </c>
    </row>
    <row r="29" spans="1:31">
      <c r="A29" s="58" t="s">
        <v>106</v>
      </c>
      <c r="B29" s="56">
        <v>21.97</v>
      </c>
      <c r="C29" s="56">
        <v>21.97</v>
      </c>
      <c r="D29" s="56">
        <v>15.42</v>
      </c>
      <c r="E29" s="56">
        <v>74.7</v>
      </c>
      <c r="F29" s="56">
        <v>51.35</v>
      </c>
      <c r="G29" s="56">
        <v>96.66</v>
      </c>
      <c r="H29" s="56">
        <v>89.75</v>
      </c>
      <c r="I29" s="56">
        <v>88.93</v>
      </c>
      <c r="J29" s="56">
        <v>77.02</v>
      </c>
      <c r="K29" s="56">
        <v>73.3</v>
      </c>
      <c r="L29" s="56">
        <v>92.18</v>
      </c>
      <c r="M29" s="56">
        <v>42.32</v>
      </c>
      <c r="N29" s="56">
        <v>70.06</v>
      </c>
      <c r="O29" s="56">
        <v>61.86</v>
      </c>
      <c r="P29" s="56">
        <v>95.17</v>
      </c>
      <c r="Q29" s="56">
        <v>92.74</v>
      </c>
      <c r="R29" s="56">
        <v>88.21</v>
      </c>
      <c r="S29" s="56">
        <v>65.19</v>
      </c>
      <c r="T29" s="56">
        <v>44.48</v>
      </c>
      <c r="U29" s="56">
        <v>6.2</v>
      </c>
      <c r="V29" s="56">
        <v>27.81</v>
      </c>
      <c r="W29" s="56">
        <v>12.7</v>
      </c>
      <c r="X29" s="56">
        <v>14.52</v>
      </c>
      <c r="Y29" s="56">
        <v>71.49</v>
      </c>
      <c r="Z29" s="56">
        <v>71.49</v>
      </c>
      <c r="AA29" s="56">
        <v>13.66</v>
      </c>
      <c r="AB29" s="56">
        <v>17.16</v>
      </c>
      <c r="AC29" s="56">
        <v>47.94</v>
      </c>
      <c r="AD29" s="56">
        <v>40.09</v>
      </c>
      <c r="AE29" s="56">
        <v>66.23</v>
      </c>
    </row>
    <row r="30" spans="1:31">
      <c r="A30" s="52" t="s">
        <v>107</v>
      </c>
      <c r="B30" s="57" t="s">
        <v>34</v>
      </c>
      <c r="C30" s="59" t="s">
        <v>35</v>
      </c>
      <c r="D30" s="57" t="s">
        <v>34</v>
      </c>
      <c r="E30" s="57" t="s">
        <v>34</v>
      </c>
      <c r="F30" s="54" t="s">
        <v>33</v>
      </c>
      <c r="G30" s="54" t="s">
        <v>33</v>
      </c>
      <c r="H30" s="54" t="s">
        <v>33</v>
      </c>
      <c r="I30" s="54" t="s">
        <v>33</v>
      </c>
      <c r="J30" s="54" t="s">
        <v>33</v>
      </c>
      <c r="K30" s="54" t="s">
        <v>33</v>
      </c>
      <c r="L30" s="54" t="s">
        <v>33</v>
      </c>
      <c r="M30" s="57" t="s">
        <v>34</v>
      </c>
      <c r="N30" s="57" t="s">
        <v>34</v>
      </c>
      <c r="O30" s="57" t="s">
        <v>34</v>
      </c>
      <c r="P30" s="57" t="s">
        <v>34</v>
      </c>
      <c r="Q30" s="57" t="s">
        <v>34</v>
      </c>
      <c r="R30" s="59" t="s">
        <v>35</v>
      </c>
      <c r="S30" s="59" t="s">
        <v>35</v>
      </c>
      <c r="T30" s="59" t="s">
        <v>35</v>
      </c>
      <c r="U30" s="59" t="s">
        <v>35</v>
      </c>
      <c r="V30" s="59" t="s">
        <v>35</v>
      </c>
      <c r="W30" s="59" t="s">
        <v>35</v>
      </c>
      <c r="X30" s="57" t="s">
        <v>34</v>
      </c>
      <c r="Y30" s="57" t="s">
        <v>34</v>
      </c>
      <c r="Z30" s="57" t="s">
        <v>34</v>
      </c>
      <c r="AA30" s="57" t="s">
        <v>34</v>
      </c>
      <c r="AB30" s="57" t="s">
        <v>34</v>
      </c>
      <c r="AC30" s="57" t="s">
        <v>34</v>
      </c>
      <c r="AD30" s="57" t="s">
        <v>34</v>
      </c>
      <c r="AE30" s="54" t="s">
        <v>33</v>
      </c>
    </row>
    <row r="31" spans="1:31">
      <c r="A31" s="52" t="s">
        <v>108</v>
      </c>
      <c r="B31" s="56">
        <v>-7.28</v>
      </c>
      <c r="C31" s="56">
        <v>-7.29</v>
      </c>
      <c r="D31" s="56">
        <v>-5.52</v>
      </c>
      <c r="E31" s="56">
        <v>-7.32</v>
      </c>
      <c r="F31" s="56">
        <v>-1.85</v>
      </c>
      <c r="G31" s="56">
        <v>-2.87</v>
      </c>
      <c r="H31" s="56">
        <v>-4.44</v>
      </c>
      <c r="I31" s="56">
        <v>-4.15</v>
      </c>
      <c r="J31" s="56">
        <v>-4.11</v>
      </c>
      <c r="K31" s="56">
        <v>-4.11</v>
      </c>
      <c r="L31" s="56">
        <v>-6.33</v>
      </c>
      <c r="M31" s="56">
        <v>-7.13</v>
      </c>
      <c r="N31" s="56">
        <v>-6.7</v>
      </c>
      <c r="O31" s="56">
        <v>-5.28</v>
      </c>
      <c r="P31" s="56">
        <v>-5.31</v>
      </c>
      <c r="Q31" s="56">
        <v>-4.5</v>
      </c>
      <c r="R31" s="56">
        <v>-7.44</v>
      </c>
      <c r="S31" s="56">
        <v>-5.1</v>
      </c>
      <c r="T31" s="56">
        <v>-6.7</v>
      </c>
      <c r="U31" s="56">
        <v>-6.01</v>
      </c>
      <c r="V31" s="56">
        <v>-5.71</v>
      </c>
      <c r="W31" s="56">
        <v>-5.33</v>
      </c>
      <c r="X31" s="56">
        <v>-0.9</v>
      </c>
      <c r="Y31" s="56">
        <v>0.04</v>
      </c>
      <c r="Z31" s="56">
        <v>-0.14</v>
      </c>
      <c r="AA31" s="56">
        <v>-0.33</v>
      </c>
      <c r="AB31" s="56">
        <v>-1.2</v>
      </c>
      <c r="AC31" s="56">
        <v>-1.63</v>
      </c>
      <c r="AD31" s="56">
        <v>-0.98</v>
      </c>
      <c r="AE31" s="56">
        <v>0.81</v>
      </c>
    </row>
    <row r="32" spans="1:31">
      <c r="A32" s="52" t="s">
        <v>109</v>
      </c>
      <c r="B32" s="56">
        <v>-2.26</v>
      </c>
      <c r="C32" s="56">
        <v>-4.48</v>
      </c>
      <c r="D32" s="56">
        <v>-2.82</v>
      </c>
      <c r="E32" s="56">
        <v>-3.63</v>
      </c>
      <c r="F32" s="56">
        <v>2.15</v>
      </c>
      <c r="G32" s="56">
        <v>-2.13</v>
      </c>
      <c r="H32" s="56">
        <v>-4.01</v>
      </c>
      <c r="I32" s="56">
        <v>-4.76</v>
      </c>
      <c r="J32" s="56">
        <v>-5.22</v>
      </c>
      <c r="K32" s="56">
        <v>-5.22</v>
      </c>
      <c r="L32" s="56">
        <v>-7.96</v>
      </c>
      <c r="M32" s="56">
        <v>-9.43</v>
      </c>
      <c r="N32" s="56">
        <v>-11.19</v>
      </c>
      <c r="O32" s="56">
        <v>-9.5</v>
      </c>
      <c r="P32" s="56">
        <v>-9.48</v>
      </c>
      <c r="Q32" s="56">
        <v>-9.92</v>
      </c>
      <c r="R32" s="56">
        <v>-12.73</v>
      </c>
      <c r="S32" s="56">
        <v>-9.61</v>
      </c>
      <c r="T32" s="56">
        <v>-8.87</v>
      </c>
      <c r="U32" s="56">
        <v>-5.98</v>
      </c>
      <c r="V32" s="56">
        <v>-5.54</v>
      </c>
      <c r="W32" s="56">
        <v>-4.26</v>
      </c>
      <c r="X32" s="56">
        <v>-0.29</v>
      </c>
      <c r="Y32" s="56">
        <v>-0.31</v>
      </c>
      <c r="Z32" s="56">
        <v>-2.62</v>
      </c>
      <c r="AA32" s="56">
        <v>-3.12</v>
      </c>
      <c r="AB32" s="56">
        <v>-4.29</v>
      </c>
      <c r="AC32" s="56">
        <v>-4.51</v>
      </c>
      <c r="AD32" s="56">
        <v>-4.98</v>
      </c>
      <c r="AE32" s="56">
        <v>-3.88</v>
      </c>
    </row>
    <row r="33" spans="1:31">
      <c r="A33" s="52" t="s">
        <v>110</v>
      </c>
      <c r="B33" s="56">
        <v>56.21</v>
      </c>
      <c r="C33" s="56">
        <v>50.28</v>
      </c>
      <c r="D33" s="56">
        <v>58.22</v>
      </c>
      <c r="E33" s="56">
        <v>52.42</v>
      </c>
      <c r="F33" s="56">
        <v>77.31</v>
      </c>
      <c r="G33" s="56">
        <v>71.64</v>
      </c>
      <c r="H33" s="56">
        <v>61.74</v>
      </c>
      <c r="I33" s="56">
        <v>63.04</v>
      </c>
      <c r="J33" s="56">
        <v>60.77</v>
      </c>
      <c r="K33" s="56">
        <v>60.77</v>
      </c>
      <c r="L33" s="56">
        <v>54.21</v>
      </c>
      <c r="M33" s="56">
        <v>42.56</v>
      </c>
      <c r="N33" s="56">
        <v>39.44</v>
      </c>
      <c r="O33" s="56">
        <v>43.68</v>
      </c>
      <c r="P33" s="56">
        <v>43.96</v>
      </c>
      <c r="Q33" s="56">
        <v>46.79</v>
      </c>
      <c r="R33" s="56">
        <v>26.47</v>
      </c>
      <c r="S33" s="56">
        <v>31.18</v>
      </c>
      <c r="T33" s="56">
        <v>31.7</v>
      </c>
      <c r="U33" s="56">
        <v>33.25</v>
      </c>
      <c r="V33" s="56">
        <v>35.58</v>
      </c>
      <c r="W33" s="56">
        <v>39.17</v>
      </c>
      <c r="X33" s="56">
        <v>62.79</v>
      </c>
      <c r="Y33" s="56">
        <v>63.09</v>
      </c>
      <c r="Z33" s="56">
        <v>62.51</v>
      </c>
      <c r="AA33" s="56">
        <v>59.46</v>
      </c>
      <c r="AB33" s="56">
        <v>59.6</v>
      </c>
      <c r="AC33" s="56">
        <v>58.83</v>
      </c>
      <c r="AD33" s="56">
        <v>57.26</v>
      </c>
      <c r="AE33" s="56">
        <v>60.15</v>
      </c>
    </row>
    <row r="34" spans="1:31">
      <c r="A34" s="52" t="s">
        <v>111</v>
      </c>
      <c r="B34" s="59" t="s">
        <v>35</v>
      </c>
      <c r="C34" s="57" t="s">
        <v>34</v>
      </c>
      <c r="D34" s="57" t="s">
        <v>34</v>
      </c>
      <c r="E34" s="57" t="s">
        <v>34</v>
      </c>
      <c r="F34" s="54" t="s">
        <v>33</v>
      </c>
      <c r="G34" s="54" t="s">
        <v>33</v>
      </c>
      <c r="H34" s="54" t="s">
        <v>33</v>
      </c>
      <c r="I34" s="54" t="s">
        <v>33</v>
      </c>
      <c r="J34" s="54" t="s">
        <v>33</v>
      </c>
      <c r="K34" s="54" t="s">
        <v>33</v>
      </c>
      <c r="L34" s="54" t="s">
        <v>33</v>
      </c>
      <c r="M34" s="54" t="s">
        <v>33</v>
      </c>
      <c r="N34" s="57" t="s">
        <v>34</v>
      </c>
      <c r="O34" s="59" t="s">
        <v>35</v>
      </c>
      <c r="P34" s="59" t="s">
        <v>35</v>
      </c>
      <c r="Q34" s="59" t="s">
        <v>35</v>
      </c>
      <c r="R34" s="59" t="s">
        <v>35</v>
      </c>
      <c r="S34" s="59" t="s">
        <v>35</v>
      </c>
      <c r="T34" s="59" t="s">
        <v>35</v>
      </c>
      <c r="U34" s="57" t="s">
        <v>34</v>
      </c>
      <c r="V34" s="59" t="s">
        <v>35</v>
      </c>
      <c r="W34" s="57" t="s">
        <v>34</v>
      </c>
      <c r="X34" s="57" t="s">
        <v>34</v>
      </c>
      <c r="Y34" s="57" t="s">
        <v>34</v>
      </c>
      <c r="Z34" s="57" t="s">
        <v>34</v>
      </c>
      <c r="AA34" s="57" t="s">
        <v>34</v>
      </c>
      <c r="AB34" s="57" t="s">
        <v>34</v>
      </c>
      <c r="AC34" s="57" t="s">
        <v>34</v>
      </c>
      <c r="AD34" s="57" t="s">
        <v>34</v>
      </c>
      <c r="AE34" s="54" t="s">
        <v>33</v>
      </c>
    </row>
    <row r="35" spans="1:31">
      <c r="A35" s="52" t="s">
        <v>112</v>
      </c>
      <c r="B35" s="56">
        <v>-1.21</v>
      </c>
      <c r="C35" s="56">
        <v>0.33</v>
      </c>
      <c r="D35" s="56">
        <v>0.71</v>
      </c>
      <c r="E35" s="56">
        <v>0.63</v>
      </c>
      <c r="F35" s="56">
        <v>1.1</v>
      </c>
      <c r="G35" s="56">
        <v>1.71</v>
      </c>
      <c r="H35" s="56">
        <v>2.62</v>
      </c>
      <c r="I35" s="56">
        <v>1.79</v>
      </c>
      <c r="J35" s="56">
        <v>1.86</v>
      </c>
      <c r="K35" s="56">
        <v>1.03</v>
      </c>
      <c r="L35" s="56">
        <v>0.8</v>
      </c>
      <c r="M35" s="56">
        <v>0.66</v>
      </c>
      <c r="N35" s="56">
        <v>0.39</v>
      </c>
      <c r="O35" s="56">
        <v>-3.34</v>
      </c>
      <c r="P35" s="56">
        <v>-2.39</v>
      </c>
      <c r="Q35" s="56">
        <v>-1.83</v>
      </c>
      <c r="R35" s="56">
        <v>-2.05</v>
      </c>
      <c r="S35" s="56">
        <v>-1.53</v>
      </c>
      <c r="T35" s="56">
        <v>-0.95</v>
      </c>
      <c r="U35" s="56">
        <v>-2.12</v>
      </c>
      <c r="V35" s="56">
        <v>-2.46</v>
      </c>
      <c r="W35" s="56">
        <v>-0.67</v>
      </c>
      <c r="X35" s="56">
        <v>-0.53</v>
      </c>
      <c r="Y35" s="56">
        <v>-0.53</v>
      </c>
      <c r="Z35" s="56">
        <v>-0.53</v>
      </c>
      <c r="AA35" s="56">
        <v>-0.47</v>
      </c>
      <c r="AB35" s="56">
        <v>-0.17</v>
      </c>
      <c r="AC35" s="56">
        <v>-0.3</v>
      </c>
      <c r="AD35" s="56">
        <v>-0.27</v>
      </c>
      <c r="AE35" s="56">
        <v>0.42</v>
      </c>
    </row>
    <row r="36" spans="1:31">
      <c r="A36" s="52" t="s">
        <v>113</v>
      </c>
      <c r="B36" s="56">
        <v>1.58</v>
      </c>
      <c r="C36" s="56">
        <v>2.33</v>
      </c>
      <c r="D36" s="56">
        <v>2.33</v>
      </c>
      <c r="E36" s="56">
        <v>3.01</v>
      </c>
      <c r="F36" s="56">
        <v>2.85</v>
      </c>
      <c r="G36" s="56">
        <v>1.83</v>
      </c>
      <c r="H36" s="56">
        <v>1.26</v>
      </c>
      <c r="I36" s="56">
        <v>-0.78</v>
      </c>
      <c r="J36" s="56">
        <v>-1.02</v>
      </c>
      <c r="K36" s="56">
        <v>-0.94</v>
      </c>
      <c r="L36" s="56">
        <v>-1.47</v>
      </c>
      <c r="M36" s="56">
        <v>-1.42</v>
      </c>
      <c r="N36" s="56">
        <v>-1.81</v>
      </c>
      <c r="O36" s="56">
        <v>-2.26</v>
      </c>
      <c r="P36" s="56">
        <v>-2.35</v>
      </c>
      <c r="Q36" s="56">
        <v>-1.57</v>
      </c>
      <c r="R36" s="56">
        <v>-0.54</v>
      </c>
      <c r="S36" s="56">
        <v>1.03</v>
      </c>
      <c r="T36" s="56">
        <v>1.94</v>
      </c>
      <c r="U36" s="56">
        <v>0.81</v>
      </c>
      <c r="V36" s="56">
        <v>0.31</v>
      </c>
      <c r="W36" s="56">
        <v>0.42</v>
      </c>
      <c r="X36" s="56">
        <v>3.12</v>
      </c>
      <c r="Y36" s="56">
        <v>3.12</v>
      </c>
      <c r="Z36" s="56">
        <v>3.12</v>
      </c>
      <c r="AA36" s="56">
        <v>3.72</v>
      </c>
      <c r="AB36" s="56">
        <v>2.73</v>
      </c>
      <c r="AC36" s="56">
        <v>0.95</v>
      </c>
      <c r="AD36" s="56">
        <v>1.37</v>
      </c>
      <c r="AE36" s="56">
        <v>1.21</v>
      </c>
    </row>
    <row r="37" spans="1:31">
      <c r="A37" s="58" t="s">
        <v>114</v>
      </c>
      <c r="B37" s="56">
        <v>23.23</v>
      </c>
      <c r="C37" s="56">
        <v>50.34</v>
      </c>
      <c r="D37" s="56">
        <v>77.24</v>
      </c>
      <c r="E37" s="56">
        <v>65.09</v>
      </c>
      <c r="F37" s="56">
        <v>86.66</v>
      </c>
      <c r="G37" s="56">
        <v>90.49</v>
      </c>
      <c r="H37" s="56">
        <v>88</v>
      </c>
      <c r="I37" s="56">
        <v>77.98</v>
      </c>
      <c r="J37" s="56">
        <v>59.82</v>
      </c>
      <c r="K37" s="56">
        <v>77.68</v>
      </c>
      <c r="L37" s="56">
        <v>76.68</v>
      </c>
      <c r="M37" s="56">
        <v>68.98</v>
      </c>
      <c r="N37" s="56">
        <v>60.96</v>
      </c>
      <c r="O37" s="56">
        <v>9.05</v>
      </c>
      <c r="P37" s="56">
        <v>20.58</v>
      </c>
      <c r="Q37" s="56">
        <v>30.12</v>
      </c>
      <c r="R37" s="56">
        <v>12.08</v>
      </c>
      <c r="S37" s="56">
        <v>13.57</v>
      </c>
      <c r="T37" s="56">
        <v>28.44</v>
      </c>
      <c r="U37" s="56">
        <v>44.72</v>
      </c>
      <c r="V37" s="56">
        <v>14.66</v>
      </c>
      <c r="W37" s="56">
        <v>28.1</v>
      </c>
      <c r="X37" s="56">
        <v>80.38</v>
      </c>
      <c r="Y37" s="56">
        <v>80.38</v>
      </c>
      <c r="Z37" s="56">
        <v>80.38</v>
      </c>
      <c r="AA37" s="56">
        <v>68.92</v>
      </c>
      <c r="AB37" s="56">
        <v>68.76</v>
      </c>
      <c r="AC37" s="56">
        <v>65.46</v>
      </c>
      <c r="AD37" s="56">
        <v>63.9</v>
      </c>
      <c r="AE37" s="56">
        <v>90.77</v>
      </c>
    </row>
    <row r="38" spans="1:31">
      <c r="A38" s="52" t="s">
        <v>115</v>
      </c>
      <c r="B38" s="59" t="s">
        <v>35</v>
      </c>
      <c r="C38" s="57" t="s">
        <v>34</v>
      </c>
      <c r="D38" s="57" t="s">
        <v>34</v>
      </c>
      <c r="E38" s="57" t="s">
        <v>34</v>
      </c>
      <c r="F38" s="57" t="s">
        <v>34</v>
      </c>
      <c r="G38" s="54" t="s">
        <v>33</v>
      </c>
      <c r="H38" s="54" t="s">
        <v>33</v>
      </c>
      <c r="I38" s="54" t="s">
        <v>33</v>
      </c>
      <c r="J38" s="54" t="s">
        <v>33</v>
      </c>
      <c r="K38" s="54" t="s">
        <v>33</v>
      </c>
      <c r="L38" s="54" t="s">
        <v>33</v>
      </c>
      <c r="M38" s="57" t="s">
        <v>34</v>
      </c>
      <c r="N38" s="54" t="s">
        <v>33</v>
      </c>
      <c r="O38" s="54" t="s">
        <v>33</v>
      </c>
      <c r="P38" s="54" t="s">
        <v>33</v>
      </c>
      <c r="Q38" s="54" t="s">
        <v>33</v>
      </c>
      <c r="R38" s="59" t="s">
        <v>35</v>
      </c>
      <c r="S38" s="57" t="s">
        <v>34</v>
      </c>
      <c r="T38" s="59" t="s">
        <v>35</v>
      </c>
      <c r="U38" s="59" t="s">
        <v>35</v>
      </c>
      <c r="V38" s="57" t="s">
        <v>34</v>
      </c>
      <c r="W38" s="57" t="s">
        <v>34</v>
      </c>
      <c r="X38" s="57" t="s">
        <v>34</v>
      </c>
      <c r="Y38" s="54" t="s">
        <v>33</v>
      </c>
      <c r="Z38" s="54" t="s">
        <v>33</v>
      </c>
      <c r="AA38" s="54" t="s">
        <v>33</v>
      </c>
      <c r="AB38" s="54" t="s">
        <v>33</v>
      </c>
      <c r="AC38" s="54" t="s">
        <v>33</v>
      </c>
      <c r="AD38" s="54" t="s">
        <v>33</v>
      </c>
      <c r="AE38" s="54" t="s">
        <v>33</v>
      </c>
    </row>
    <row r="39" spans="1:31">
      <c r="A39" s="52" t="s">
        <v>116</v>
      </c>
      <c r="B39" s="56">
        <v>2.67</v>
      </c>
      <c r="C39" s="56">
        <v>5.39</v>
      </c>
      <c r="D39" s="56">
        <v>5.39</v>
      </c>
      <c r="E39" s="56">
        <v>5.38</v>
      </c>
      <c r="F39" s="56">
        <v>6.9</v>
      </c>
      <c r="G39" s="56">
        <v>7.31</v>
      </c>
      <c r="H39" s="56">
        <v>7.21</v>
      </c>
      <c r="I39" s="56">
        <v>6.84</v>
      </c>
      <c r="J39" s="56">
        <v>7.46</v>
      </c>
      <c r="K39" s="56">
        <v>6.69</v>
      </c>
      <c r="L39" s="56">
        <v>5.73</v>
      </c>
      <c r="M39" s="56">
        <v>6.27</v>
      </c>
      <c r="N39" s="56">
        <v>7.42</v>
      </c>
      <c r="O39" s="56">
        <v>7.48</v>
      </c>
      <c r="P39" s="56">
        <v>6.99</v>
      </c>
      <c r="Q39" s="56">
        <v>7.27</v>
      </c>
      <c r="R39" s="56">
        <v>5.46</v>
      </c>
      <c r="S39" s="56">
        <v>6.4</v>
      </c>
      <c r="T39" s="56">
        <v>6.18</v>
      </c>
      <c r="U39" s="56">
        <v>5.98</v>
      </c>
      <c r="V39" s="56">
        <v>7.51</v>
      </c>
      <c r="W39" s="56">
        <v>7.66</v>
      </c>
      <c r="X39" s="56">
        <v>7.64</v>
      </c>
      <c r="Y39" s="56">
        <v>9.97</v>
      </c>
      <c r="Z39" s="56">
        <v>10.73</v>
      </c>
      <c r="AA39" s="56">
        <v>13.95</v>
      </c>
      <c r="AB39" s="56">
        <v>6.95</v>
      </c>
      <c r="AC39" s="56">
        <v>10.48</v>
      </c>
      <c r="AD39" s="56">
        <v>10.57</v>
      </c>
      <c r="AE39" s="56">
        <v>8.84</v>
      </c>
    </row>
    <row r="40" spans="1:31">
      <c r="A40" s="52" t="s">
        <v>117</v>
      </c>
      <c r="B40" s="56">
        <v>9.94</v>
      </c>
      <c r="C40" s="56">
        <v>12.83</v>
      </c>
      <c r="D40" s="56">
        <v>12.83</v>
      </c>
      <c r="E40" s="56">
        <v>12.79</v>
      </c>
      <c r="F40" s="56">
        <v>15.25</v>
      </c>
      <c r="G40" s="56">
        <v>15.64</v>
      </c>
      <c r="H40" s="56">
        <v>15.29</v>
      </c>
      <c r="I40" s="56">
        <v>14.9</v>
      </c>
      <c r="J40" s="56">
        <v>14.75</v>
      </c>
      <c r="K40" s="56">
        <v>14.79</v>
      </c>
      <c r="L40" s="56">
        <v>13.96</v>
      </c>
      <c r="M40" s="56">
        <v>14.46</v>
      </c>
      <c r="N40" s="56">
        <v>14.07</v>
      </c>
      <c r="O40" s="56">
        <v>14.24</v>
      </c>
      <c r="P40" s="56">
        <v>14.96</v>
      </c>
      <c r="Q40" s="56">
        <v>15.21</v>
      </c>
      <c r="R40" s="56">
        <v>12.06</v>
      </c>
      <c r="S40" s="56">
        <v>12.77</v>
      </c>
      <c r="T40" s="56">
        <v>11.58</v>
      </c>
      <c r="U40" s="56">
        <v>11.57</v>
      </c>
      <c r="V40" s="56">
        <v>11.58</v>
      </c>
      <c r="W40" s="56">
        <v>12.04</v>
      </c>
      <c r="X40" s="56">
        <v>11.38</v>
      </c>
      <c r="Y40" s="56">
        <v>11.44</v>
      </c>
      <c r="Z40" s="56">
        <v>11.79</v>
      </c>
      <c r="AA40" s="56">
        <v>11.18</v>
      </c>
      <c r="AB40" s="56">
        <v>10.81</v>
      </c>
      <c r="AC40" s="56">
        <v>10.8</v>
      </c>
      <c r="AD40" s="56">
        <v>12.69</v>
      </c>
      <c r="AE40" s="56">
        <v>12.14</v>
      </c>
    </row>
    <row r="41" spans="1:31">
      <c r="A41" s="58" t="s">
        <v>118</v>
      </c>
      <c r="B41" s="56">
        <v>38.91</v>
      </c>
      <c r="C41" s="56">
        <v>56.68</v>
      </c>
      <c r="D41" s="56">
        <v>56.68</v>
      </c>
      <c r="E41" s="56">
        <v>57.12</v>
      </c>
      <c r="F41" s="56">
        <v>78.04</v>
      </c>
      <c r="G41" s="56">
        <v>83.77</v>
      </c>
      <c r="H41" s="56">
        <v>80.52</v>
      </c>
      <c r="I41" s="56">
        <v>79.08</v>
      </c>
      <c r="J41" s="56">
        <v>79.38</v>
      </c>
      <c r="K41" s="56">
        <v>77.32</v>
      </c>
      <c r="L41" s="56">
        <v>66.75</v>
      </c>
      <c r="M41" s="56">
        <v>64.14</v>
      </c>
      <c r="N41" s="56">
        <v>66.76</v>
      </c>
      <c r="O41" s="56">
        <v>65.9</v>
      </c>
      <c r="P41" s="56">
        <v>65.01</v>
      </c>
      <c r="Q41" s="56">
        <v>66.14</v>
      </c>
      <c r="R41" s="56">
        <v>50.55</v>
      </c>
      <c r="S41" s="56">
        <v>57.1</v>
      </c>
      <c r="T41" s="56">
        <v>52.02</v>
      </c>
      <c r="U41" s="56">
        <v>46.05</v>
      </c>
      <c r="V41" s="56">
        <v>66.09</v>
      </c>
      <c r="W41" s="56">
        <v>70.18</v>
      </c>
      <c r="X41" s="56">
        <v>75.85</v>
      </c>
      <c r="Y41" s="56">
        <v>75.97</v>
      </c>
      <c r="Z41" s="56">
        <v>74.36</v>
      </c>
      <c r="AA41" s="56">
        <v>72.38</v>
      </c>
      <c r="AB41" s="56">
        <v>69.15</v>
      </c>
      <c r="AC41" s="56">
        <v>68.44</v>
      </c>
      <c r="AD41" s="56">
        <v>68.32</v>
      </c>
      <c r="AE41" s="56">
        <v>62.57</v>
      </c>
    </row>
    <row r="42" spans="1:31">
      <c r="A42" s="52" t="s">
        <v>119</v>
      </c>
      <c r="B42" s="59" t="s">
        <v>35</v>
      </c>
      <c r="C42" s="59" t="s">
        <v>35</v>
      </c>
      <c r="D42" s="59" t="s">
        <v>35</v>
      </c>
      <c r="E42" s="57" t="s">
        <v>34</v>
      </c>
      <c r="F42" s="54" t="s">
        <v>33</v>
      </c>
      <c r="G42" s="54" t="s">
        <v>33</v>
      </c>
      <c r="H42" s="54" t="s">
        <v>33</v>
      </c>
      <c r="I42" s="54" t="s">
        <v>33</v>
      </c>
      <c r="J42" s="57" t="s">
        <v>34</v>
      </c>
      <c r="K42" s="57" t="s">
        <v>34</v>
      </c>
      <c r="L42" s="54" t="s">
        <v>33</v>
      </c>
      <c r="M42" s="57" t="s">
        <v>34</v>
      </c>
      <c r="N42" s="54" t="s">
        <v>33</v>
      </c>
      <c r="O42" s="57" t="s">
        <v>34</v>
      </c>
      <c r="P42" s="54" t="s">
        <v>33</v>
      </c>
      <c r="Q42" s="57" t="s">
        <v>34</v>
      </c>
      <c r="R42" s="59" t="s">
        <v>35</v>
      </c>
      <c r="S42" s="59" t="s">
        <v>35</v>
      </c>
      <c r="T42" s="59" t="s">
        <v>35</v>
      </c>
      <c r="U42" s="59" t="s">
        <v>35</v>
      </c>
      <c r="V42" s="59" t="s">
        <v>35</v>
      </c>
      <c r="W42" s="59" t="s">
        <v>35</v>
      </c>
      <c r="X42" s="57" t="s">
        <v>34</v>
      </c>
      <c r="Y42" s="57" t="s">
        <v>34</v>
      </c>
      <c r="Z42" s="57" t="s">
        <v>34</v>
      </c>
      <c r="AA42" s="54" t="s">
        <v>33</v>
      </c>
      <c r="AB42" s="57" t="s">
        <v>34</v>
      </c>
      <c r="AC42" s="57" t="s">
        <v>34</v>
      </c>
      <c r="AD42" s="54" t="s">
        <v>33</v>
      </c>
      <c r="AE42" s="54" t="s">
        <v>33</v>
      </c>
    </row>
    <row r="43" spans="1:31">
      <c r="A43" s="52" t="s">
        <v>120</v>
      </c>
      <c r="B43" s="56">
        <v>-1.59</v>
      </c>
      <c r="C43" s="56">
        <v>0.05</v>
      </c>
      <c r="D43" s="56">
        <v>0.87</v>
      </c>
      <c r="E43" s="56">
        <v>0.11</v>
      </c>
      <c r="F43" s="56">
        <v>1.51</v>
      </c>
      <c r="G43" s="56">
        <v>0.6</v>
      </c>
      <c r="H43" s="56">
        <v>-0.87</v>
      </c>
      <c r="I43" s="56">
        <v>0.87</v>
      </c>
      <c r="J43" s="56">
        <v>-0.7</v>
      </c>
      <c r="K43" s="56">
        <v>0.28</v>
      </c>
      <c r="L43" s="56">
        <v>1.12</v>
      </c>
      <c r="M43" s="56">
        <v>-2.16</v>
      </c>
      <c r="N43" s="56">
        <v>-2.28</v>
      </c>
      <c r="O43" s="56">
        <v>-3.34</v>
      </c>
      <c r="P43" s="56">
        <v>-2.14</v>
      </c>
      <c r="Q43" s="56">
        <v>-3.08</v>
      </c>
      <c r="R43" s="56">
        <v>-2.29</v>
      </c>
      <c r="S43" s="56">
        <v>-2.9</v>
      </c>
      <c r="T43" s="56">
        <v>-1.93</v>
      </c>
      <c r="U43" s="56">
        <v>-2.01</v>
      </c>
      <c r="V43" s="56">
        <v>-3.58</v>
      </c>
      <c r="W43" s="56">
        <v>-4.62</v>
      </c>
      <c r="X43" s="56">
        <v>-2.75</v>
      </c>
      <c r="Y43" s="56">
        <v>-3.14</v>
      </c>
      <c r="Z43" s="56">
        <v>-4.63</v>
      </c>
      <c r="AA43" s="56">
        <v>-4.96</v>
      </c>
      <c r="AB43" s="56">
        <v>-5.36</v>
      </c>
      <c r="AC43" s="56">
        <v>-4.69</v>
      </c>
      <c r="AD43" s="56">
        <v>-5.1</v>
      </c>
      <c r="AE43" s="56">
        <v>-5.2</v>
      </c>
    </row>
    <row r="44" spans="1:31">
      <c r="A44" s="52" t="s">
        <v>121</v>
      </c>
      <c r="B44" s="56">
        <v>-5.96</v>
      </c>
      <c r="C44" s="56">
        <v>-4.48</v>
      </c>
      <c r="D44" s="56">
        <v>-5.85</v>
      </c>
      <c r="E44" s="56">
        <v>-4.68</v>
      </c>
      <c r="F44" s="56">
        <v>-2.89</v>
      </c>
      <c r="G44" s="56">
        <v>-3.77</v>
      </c>
      <c r="H44" s="56">
        <v>-6.01</v>
      </c>
      <c r="I44" s="56">
        <v>-6.35</v>
      </c>
      <c r="J44" s="56">
        <v>-6.86</v>
      </c>
      <c r="K44" s="56">
        <v>-7.99</v>
      </c>
      <c r="L44" s="56">
        <v>-6.6</v>
      </c>
      <c r="M44" s="56">
        <v>-8.43</v>
      </c>
      <c r="N44" s="56">
        <v>-8.75</v>
      </c>
      <c r="O44" s="56">
        <v>-9.21</v>
      </c>
      <c r="P44" s="56">
        <v>-8.79</v>
      </c>
      <c r="Q44" s="56">
        <v>-8.79</v>
      </c>
      <c r="R44" s="56">
        <v>-9.26</v>
      </c>
      <c r="S44" s="56">
        <v>-9.44</v>
      </c>
      <c r="T44" s="56">
        <v>-9.02</v>
      </c>
      <c r="U44" s="56">
        <v>-10.35</v>
      </c>
      <c r="V44" s="56">
        <v>-8.79</v>
      </c>
      <c r="W44" s="56">
        <v>-8.13</v>
      </c>
      <c r="X44" s="56">
        <v>-7.18</v>
      </c>
      <c r="Y44" s="56">
        <v>-6.04</v>
      </c>
      <c r="Z44" s="56">
        <v>-5.64</v>
      </c>
      <c r="AA44" s="56">
        <v>-4.72</v>
      </c>
      <c r="AB44" s="56">
        <v>-5.61</v>
      </c>
      <c r="AC44" s="56">
        <v>-5.62</v>
      </c>
      <c r="AD44" s="56">
        <v>-4.58</v>
      </c>
      <c r="AE44" s="56">
        <v>-4.48</v>
      </c>
    </row>
    <row r="45" spans="1:31">
      <c r="A45" s="52" t="s">
        <v>122</v>
      </c>
      <c r="B45" s="56">
        <v>36.24</v>
      </c>
      <c r="C45" s="56">
        <v>45.48</v>
      </c>
      <c r="D45" s="56">
        <v>44.93</v>
      </c>
      <c r="E45" s="56">
        <v>52.35</v>
      </c>
      <c r="F45" s="56">
        <v>78.61</v>
      </c>
      <c r="G45" s="56">
        <v>75.48</v>
      </c>
      <c r="H45" s="56">
        <v>57.98</v>
      </c>
      <c r="I45" s="56">
        <v>66.2</v>
      </c>
      <c r="J45" s="56">
        <v>52.83</v>
      </c>
      <c r="K45" s="56">
        <v>51.58</v>
      </c>
      <c r="L45" s="56">
        <v>74.97</v>
      </c>
      <c r="M45" s="56">
        <v>45.92</v>
      </c>
      <c r="N45" s="56">
        <v>59.76</v>
      </c>
      <c r="O45" s="56">
        <v>48.71</v>
      </c>
      <c r="P45" s="56">
        <v>53.61</v>
      </c>
      <c r="Q45" s="56">
        <v>45.19</v>
      </c>
      <c r="R45" s="56">
        <v>32.83</v>
      </c>
      <c r="S45" s="56">
        <v>34.58</v>
      </c>
      <c r="T45" s="56">
        <v>37.2</v>
      </c>
      <c r="U45" s="56">
        <v>16.31</v>
      </c>
      <c r="V45" s="56">
        <v>22.99</v>
      </c>
      <c r="W45" s="56">
        <v>32.1</v>
      </c>
      <c r="X45" s="56">
        <v>48.66</v>
      </c>
      <c r="Y45" s="56">
        <v>80.73</v>
      </c>
      <c r="Z45" s="56">
        <v>78.24</v>
      </c>
      <c r="AA45" s="56">
        <v>83.84</v>
      </c>
      <c r="AB45" s="56">
        <v>74.67</v>
      </c>
      <c r="AC45" s="56">
        <v>72.3</v>
      </c>
      <c r="AD45" s="56">
        <v>85.51</v>
      </c>
      <c r="AE45" s="56">
        <v>84.26</v>
      </c>
    </row>
    <row r="46" spans="1:31">
      <c r="A46" s="52" t="s">
        <v>123</v>
      </c>
      <c r="B46" s="57" t="s">
        <v>34</v>
      </c>
      <c r="C46" s="57" t="s">
        <v>34</v>
      </c>
      <c r="D46" s="57" t="s">
        <v>34</v>
      </c>
      <c r="E46" s="57" t="s">
        <v>34</v>
      </c>
      <c r="F46" s="54" t="s">
        <v>33</v>
      </c>
      <c r="G46" s="54" t="s">
        <v>33</v>
      </c>
      <c r="H46" s="57" t="s">
        <v>34</v>
      </c>
      <c r="I46" s="54" t="s">
        <v>33</v>
      </c>
      <c r="J46" s="54" t="s">
        <v>33</v>
      </c>
      <c r="K46" s="57" t="s">
        <v>34</v>
      </c>
      <c r="L46" s="54" t="s">
        <v>33</v>
      </c>
      <c r="M46" s="54" t="s">
        <v>33</v>
      </c>
      <c r="N46" s="54" t="s">
        <v>33</v>
      </c>
      <c r="O46" s="54" t="s">
        <v>33</v>
      </c>
      <c r="P46" s="54" t="s">
        <v>33</v>
      </c>
      <c r="Q46" s="54" t="s">
        <v>33</v>
      </c>
      <c r="R46" s="59" t="s">
        <v>35</v>
      </c>
      <c r="S46" s="59" t="s">
        <v>35</v>
      </c>
      <c r="T46" s="59" t="s">
        <v>35</v>
      </c>
      <c r="U46" s="59" t="s">
        <v>35</v>
      </c>
      <c r="V46" s="59" t="s">
        <v>35</v>
      </c>
      <c r="W46" s="59" t="s">
        <v>35</v>
      </c>
      <c r="X46" s="57" t="s">
        <v>34</v>
      </c>
      <c r="Y46" s="57" t="s">
        <v>34</v>
      </c>
      <c r="Z46" s="57" t="s">
        <v>34</v>
      </c>
      <c r="AA46" s="54" t="s">
        <v>33</v>
      </c>
      <c r="AB46" s="57" t="s">
        <v>34</v>
      </c>
      <c r="AC46" s="57" t="s">
        <v>34</v>
      </c>
      <c r="AD46" s="57" t="s">
        <v>34</v>
      </c>
      <c r="AE46" s="54" t="s">
        <v>33</v>
      </c>
    </row>
    <row r="47" spans="1:31">
      <c r="A47" s="52" t="s">
        <v>124</v>
      </c>
      <c r="B47" s="56">
        <v>2.69</v>
      </c>
      <c r="C47" s="56">
        <v>4.12</v>
      </c>
      <c r="D47" s="56">
        <v>5.36</v>
      </c>
      <c r="E47" s="56">
        <v>4.62</v>
      </c>
      <c r="F47" s="56">
        <v>5.4</v>
      </c>
      <c r="G47" s="56">
        <v>4.27</v>
      </c>
      <c r="H47" s="56">
        <v>2.96</v>
      </c>
      <c r="I47" s="56">
        <v>4.58</v>
      </c>
      <c r="J47" s="56">
        <v>3.04</v>
      </c>
      <c r="K47" s="56">
        <v>2.66</v>
      </c>
      <c r="L47" s="56">
        <v>4.35</v>
      </c>
      <c r="M47" s="56">
        <v>3.06</v>
      </c>
      <c r="N47" s="56">
        <v>3.02</v>
      </c>
      <c r="O47" s="56">
        <v>1.68</v>
      </c>
      <c r="P47" s="56">
        <v>2.95</v>
      </c>
      <c r="Q47" s="56">
        <v>1.45</v>
      </c>
      <c r="R47" s="56">
        <v>1.45</v>
      </c>
      <c r="S47" s="56">
        <v>0.74</v>
      </c>
      <c r="T47" s="56">
        <v>2.08</v>
      </c>
      <c r="U47" s="56">
        <v>1.67</v>
      </c>
      <c r="V47" s="56">
        <v>1.7</v>
      </c>
      <c r="W47" s="56">
        <v>-0.21</v>
      </c>
      <c r="X47" s="56">
        <v>2.05</v>
      </c>
      <c r="Y47" s="56">
        <v>2.36</v>
      </c>
      <c r="Z47" s="56">
        <v>1.88</v>
      </c>
      <c r="AA47" s="56">
        <v>1.39</v>
      </c>
      <c r="AB47" s="56">
        <v>1.11</v>
      </c>
      <c r="AC47" s="56">
        <v>1.5</v>
      </c>
      <c r="AD47" s="56">
        <v>0.05</v>
      </c>
      <c r="AE47" s="56">
        <v>0.73</v>
      </c>
    </row>
    <row r="48" spans="1:31">
      <c r="A48" s="52" t="s">
        <v>125</v>
      </c>
      <c r="B48" s="56">
        <v>7.1</v>
      </c>
      <c r="C48" s="56">
        <v>7.87</v>
      </c>
      <c r="D48" s="56">
        <v>6.58</v>
      </c>
      <c r="E48" s="56">
        <v>7.78</v>
      </c>
      <c r="F48" s="56">
        <v>8.46</v>
      </c>
      <c r="G48" s="56">
        <v>6.31</v>
      </c>
      <c r="H48" s="56">
        <v>4.66</v>
      </c>
      <c r="I48" s="56">
        <v>3.7</v>
      </c>
      <c r="J48" s="56">
        <v>3.7</v>
      </c>
      <c r="K48" s="56">
        <v>1.72</v>
      </c>
      <c r="L48" s="56">
        <v>3.46</v>
      </c>
      <c r="M48" s="56">
        <v>2.34</v>
      </c>
      <c r="N48" s="56">
        <v>1.26</v>
      </c>
      <c r="O48" s="56">
        <v>0.84</v>
      </c>
      <c r="P48" s="56">
        <v>1.71</v>
      </c>
      <c r="Q48" s="56">
        <v>1.41</v>
      </c>
      <c r="R48" s="56">
        <v>0.68</v>
      </c>
      <c r="S48" s="56">
        <v>0.48</v>
      </c>
      <c r="T48" s="56">
        <v>2.38</v>
      </c>
      <c r="U48" s="56">
        <v>1.75</v>
      </c>
      <c r="V48" s="56">
        <v>3.59</v>
      </c>
      <c r="W48" s="56">
        <v>3.65</v>
      </c>
      <c r="X48" s="56">
        <v>4.49</v>
      </c>
      <c r="Y48" s="56">
        <v>5.4</v>
      </c>
      <c r="Z48" s="56">
        <v>5.24</v>
      </c>
      <c r="AA48" s="56">
        <v>6.57</v>
      </c>
      <c r="AB48" s="56">
        <v>5.43</v>
      </c>
      <c r="AC48" s="56">
        <v>4.7</v>
      </c>
      <c r="AD48" s="56">
        <v>5.08</v>
      </c>
      <c r="AE48" s="56">
        <v>5.28</v>
      </c>
    </row>
    <row r="49" spans="1:31">
      <c r="A49" s="52" t="s">
        <v>126</v>
      </c>
      <c r="B49" s="56">
        <v>47.79</v>
      </c>
      <c r="C49" s="56">
        <v>56.45</v>
      </c>
      <c r="D49" s="56">
        <v>59.76</v>
      </c>
      <c r="E49" s="56">
        <v>67.35</v>
      </c>
      <c r="F49" s="56">
        <v>78.38</v>
      </c>
      <c r="G49" s="56">
        <v>72.42</v>
      </c>
      <c r="H49" s="56">
        <v>59.91</v>
      </c>
      <c r="I49" s="56">
        <v>66</v>
      </c>
      <c r="J49" s="56">
        <v>59.4</v>
      </c>
      <c r="K49" s="56">
        <v>52.95</v>
      </c>
      <c r="L49" s="56">
        <v>75.07</v>
      </c>
      <c r="M49" s="56">
        <v>61.14</v>
      </c>
      <c r="N49" s="56">
        <v>62.6</v>
      </c>
      <c r="O49" s="56">
        <v>57.16</v>
      </c>
      <c r="P49" s="56">
        <v>62.56</v>
      </c>
      <c r="Q49" s="56">
        <v>52.29</v>
      </c>
      <c r="R49" s="56">
        <v>37.42</v>
      </c>
      <c r="S49" s="56">
        <v>31.32</v>
      </c>
      <c r="T49" s="56">
        <v>40.38</v>
      </c>
      <c r="U49" s="56">
        <v>26.19</v>
      </c>
      <c r="V49" s="56">
        <v>42.54</v>
      </c>
      <c r="W49" s="56">
        <v>43.82</v>
      </c>
      <c r="X49" s="56">
        <v>58.62</v>
      </c>
      <c r="Y49" s="56">
        <v>87.9</v>
      </c>
      <c r="Z49" s="56">
        <v>87.21</v>
      </c>
      <c r="AA49" s="56">
        <v>88.2</v>
      </c>
      <c r="AB49" s="56">
        <v>84.89</v>
      </c>
      <c r="AC49" s="56">
        <v>81.57</v>
      </c>
      <c r="AD49" s="56">
        <v>79.09</v>
      </c>
      <c r="AE49" s="56">
        <v>81.35</v>
      </c>
    </row>
    <row r="51" ht="22" customHeight="1" spans="1:1">
      <c r="A51" s="60" t="s">
        <v>127</v>
      </c>
    </row>
    <row r="52" spans="1:1">
      <c r="A52" s="60" t="s">
        <v>128</v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  <color indexed="65"/>
        <color indexed="65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  <color indexed="65"/>
        <color indexed="65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  <color indexed="65"/>
        <color indexed="65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  <color indexed="65"/>
        <color indexed="65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FFF8544C"/>
        <color rgb="FF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FFF8544C"/>
        <color rgb="FF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  <color indexed="65"/>
        <color indexed="65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FFF8544C"/>
        <color rgb="FF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FFF8544C"/>
        <color rgb="FF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FFF8544C"/>
        <color rgb="FF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  <color indexed="65"/>
        <color indexed="65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FFF8544C"/>
        <color rgb="FF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FFF8544C"/>
        <color rgb="FF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  <color indexed="65"/>
        <color indexed="65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  <color indexed="65"/>
        <color indexed="65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  <color indexed="65"/>
        <color indexed="65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FFF8544C"/>
        <color rgb="FF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FFF8544C"/>
        <color rgb="FF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FFF8544C"/>
        <color rgb="FF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  <color indexed="65"/>
        <color indexed="65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FFF8544C"/>
        <color rgb="FF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  <color indexed="65"/>
        <color indexed="65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FFF8544C"/>
        <color rgb="FF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FFF8544C"/>
        <color rgb="FF9AE854"/>
      </colorScale>
    </cfRule>
  </conditionalFormatting>
  <conditionalFormatting sqref="B41:AE41">
    <cfRule type="colorScale" priority="9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FFF8544C"/>
        <color rgb="FF9AE854"/>
      </colorScale>
    </cfRule>
  </conditionalFormatting>
  <conditionalFormatting sqref="B42:AE42">
    <cfRule type="colorScale" priority="91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  <color indexed="65"/>
        <color indexed="65"/>
      </colorScale>
    </cfRule>
  </conditionalFormatting>
  <conditionalFormatting sqref="B43:AE43">
    <cfRule type="colorScale" priority="92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FFF8544C"/>
        <color rgb="FF9AE854"/>
      </colorScale>
    </cfRule>
  </conditionalFormatting>
  <conditionalFormatting sqref="B44:AE44">
    <cfRule type="colorScale" priority="93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FFF8544C"/>
        <color rgb="FF9AE854"/>
      </colorScale>
    </cfRule>
  </conditionalFormatting>
  <conditionalFormatting sqref="B45:AE45">
    <cfRule type="colorScale" priority="94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FFF8544C"/>
        <color rgb="FF9AE854"/>
      </colorScale>
    </cfRule>
  </conditionalFormatting>
  <conditionalFormatting sqref="B46:AE46">
    <cfRule type="colorScale" priority="95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  <color indexed="65"/>
        <color indexed="65"/>
      </colorScale>
    </cfRule>
  </conditionalFormatting>
  <conditionalFormatting sqref="B47:AE47">
    <cfRule type="colorScale" priority="96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FFF8544C"/>
        <color rgb="FF9AE854"/>
      </colorScale>
    </cfRule>
  </conditionalFormatting>
  <conditionalFormatting sqref="B48:AE48">
    <cfRule type="colorScale" priority="97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FFF8544C"/>
        <color rgb="FF9AE854"/>
      </colorScale>
    </cfRule>
  </conditionalFormatting>
  <conditionalFormatting sqref="B49:AE49">
    <cfRule type="colorScale" priority="98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FFF8544C"/>
        <color rgb="FF9AE854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workbookViewId="0">
      <selection activeCell="A21" sqref="$A21:$XFD21"/>
    </sheetView>
  </sheetViews>
  <sheetFormatPr defaultColWidth="9" defaultRowHeight="14.4" outlineLevelCol="6"/>
  <cols>
    <col min="1" max="1" width="18.6666666666667" style="1" customWidth="1"/>
    <col min="2" max="2" width="22" style="1" customWidth="1"/>
    <col min="3" max="3" width="6.11111111111111" style="3" customWidth="1"/>
    <col min="4" max="4" width="13" style="3" customWidth="1"/>
    <col min="5" max="5" width="10.7777777777778" style="3" customWidth="1"/>
    <col min="6" max="6" width="11.8888888888889" style="3" customWidth="1"/>
    <col min="7" max="7" width="13.1111111111111" style="2" customWidth="1"/>
  </cols>
  <sheetData>
    <row r="1" s="3" customFormat="1" spans="1:7">
      <c r="A1" s="20" t="s">
        <v>129</v>
      </c>
      <c r="B1" s="20" t="s">
        <v>130</v>
      </c>
      <c r="C1" s="21" t="s">
        <v>131</v>
      </c>
      <c r="D1" s="21" t="s">
        <v>132</v>
      </c>
      <c r="E1" s="21" t="s">
        <v>133</v>
      </c>
      <c r="F1" s="21" t="s">
        <v>134</v>
      </c>
      <c r="G1" s="21" t="s">
        <v>135</v>
      </c>
    </row>
    <row r="2" spans="1:7">
      <c r="A2" s="14" t="s">
        <v>136</v>
      </c>
      <c r="B2" s="14" t="s">
        <v>0</v>
      </c>
      <c r="C2" s="6"/>
      <c r="D2" s="6"/>
      <c r="E2" s="6"/>
      <c r="F2" s="6"/>
      <c r="G2" s="6"/>
    </row>
    <row r="3" spans="1:7">
      <c r="A3" s="14" t="s">
        <v>137</v>
      </c>
      <c r="B3" s="14" t="s">
        <v>31</v>
      </c>
      <c r="C3" s="6">
        <v>2</v>
      </c>
      <c r="D3" s="6" t="s">
        <v>138</v>
      </c>
      <c r="E3" s="6" t="s">
        <v>139</v>
      </c>
      <c r="F3" s="6"/>
      <c r="G3" s="6"/>
    </row>
    <row r="4" spans="1:7">
      <c r="A4" s="14" t="s">
        <v>140</v>
      </c>
      <c r="B4" s="14" t="s">
        <v>32</v>
      </c>
      <c r="C4" s="6"/>
      <c r="D4" s="6"/>
      <c r="E4" s="6"/>
      <c r="F4" s="6"/>
      <c r="G4" s="6"/>
    </row>
    <row r="5" spans="1:7">
      <c r="A5" s="14" t="s">
        <v>141</v>
      </c>
      <c r="B5" s="14" t="s">
        <v>36</v>
      </c>
      <c r="C5" s="6">
        <v>2</v>
      </c>
      <c r="D5" s="6" t="s">
        <v>138</v>
      </c>
      <c r="E5" s="6" t="s">
        <v>139</v>
      </c>
      <c r="F5" s="6"/>
      <c r="G5" s="6"/>
    </row>
    <row r="6" spans="1:7">
      <c r="A6" s="15" t="s">
        <v>142</v>
      </c>
      <c r="B6" s="15" t="s">
        <v>37</v>
      </c>
      <c r="C6" s="46">
        <v>2</v>
      </c>
      <c r="D6" s="46" t="s">
        <v>138</v>
      </c>
      <c r="E6" s="46" t="s">
        <v>139</v>
      </c>
      <c r="F6" s="46"/>
      <c r="G6" s="46"/>
    </row>
    <row r="7" spans="1:7">
      <c r="A7" s="15" t="s">
        <v>143</v>
      </c>
      <c r="B7" s="15" t="s">
        <v>38</v>
      </c>
      <c r="C7" s="46">
        <v>2</v>
      </c>
      <c r="D7" s="46" t="s">
        <v>138</v>
      </c>
      <c r="E7" s="46" t="s">
        <v>139</v>
      </c>
      <c r="F7" s="46"/>
      <c r="G7" s="46"/>
    </row>
    <row r="8" spans="1:7">
      <c r="A8" s="5" t="s">
        <v>144</v>
      </c>
      <c r="B8" s="5" t="s">
        <v>39</v>
      </c>
      <c r="C8" s="46">
        <v>2</v>
      </c>
      <c r="D8" s="46" t="s">
        <v>138</v>
      </c>
      <c r="E8" s="46" t="s">
        <v>139</v>
      </c>
      <c r="F8" s="46" t="s">
        <v>145</v>
      </c>
      <c r="G8" s="46" t="s">
        <v>146</v>
      </c>
    </row>
    <row r="9" spans="1:7">
      <c r="A9" s="15" t="s">
        <v>147</v>
      </c>
      <c r="B9" s="15" t="s">
        <v>40</v>
      </c>
      <c r="C9" s="46">
        <v>2</v>
      </c>
      <c r="D9" s="46" t="s">
        <v>138</v>
      </c>
      <c r="E9" s="46" t="s">
        <v>139</v>
      </c>
      <c r="F9" s="46"/>
      <c r="G9" s="46"/>
    </row>
    <row r="10" spans="1:7">
      <c r="A10" s="15" t="s">
        <v>148</v>
      </c>
      <c r="B10" s="15" t="s">
        <v>41</v>
      </c>
      <c r="C10" s="46" t="s">
        <v>149</v>
      </c>
      <c r="D10" s="46" t="s">
        <v>138</v>
      </c>
      <c r="E10" s="46" t="s">
        <v>139</v>
      </c>
      <c r="F10" s="46" t="s">
        <v>150</v>
      </c>
      <c r="G10" s="46" t="s">
        <v>151</v>
      </c>
    </row>
    <row r="11" spans="1:7">
      <c r="A11" s="15" t="s">
        <v>152</v>
      </c>
      <c r="B11" s="15" t="s">
        <v>42</v>
      </c>
      <c r="C11" s="46" t="s">
        <v>149</v>
      </c>
      <c r="D11" s="46" t="s">
        <v>138</v>
      </c>
      <c r="E11" s="46" t="s">
        <v>139</v>
      </c>
      <c r="F11" s="46" t="s">
        <v>153</v>
      </c>
      <c r="G11" s="46" t="s">
        <v>154</v>
      </c>
    </row>
    <row r="12" spans="1:7">
      <c r="A12" s="15" t="s">
        <v>155</v>
      </c>
      <c r="B12" s="15" t="s">
        <v>43</v>
      </c>
      <c r="C12" s="46" t="s">
        <v>149</v>
      </c>
      <c r="D12" s="46" t="s">
        <v>138</v>
      </c>
      <c r="E12" s="46" t="s">
        <v>139</v>
      </c>
      <c r="F12" s="46" t="s">
        <v>156</v>
      </c>
      <c r="G12" s="46" t="s">
        <v>157</v>
      </c>
    </row>
    <row r="13" spans="1:7">
      <c r="A13" s="47" t="s">
        <v>158</v>
      </c>
      <c r="B13" s="47" t="s">
        <v>44</v>
      </c>
      <c r="C13" s="48">
        <v>2</v>
      </c>
      <c r="D13" s="48" t="s">
        <v>139</v>
      </c>
      <c r="E13" s="48" t="s">
        <v>138</v>
      </c>
      <c r="F13" s="48" t="s">
        <v>159</v>
      </c>
      <c r="G13" s="48" t="s">
        <v>160</v>
      </c>
    </row>
    <row r="14" spans="1:7">
      <c r="A14" s="49" t="s">
        <v>161</v>
      </c>
      <c r="B14" s="49" t="s">
        <v>45</v>
      </c>
      <c r="C14" s="50">
        <v>0</v>
      </c>
      <c r="D14" s="50" t="s">
        <v>139</v>
      </c>
      <c r="E14" s="50" t="s">
        <v>138</v>
      </c>
      <c r="F14" s="50" t="s">
        <v>162</v>
      </c>
      <c r="G14" s="50"/>
    </row>
    <row r="15" spans="1:7">
      <c r="A15" s="49" t="s">
        <v>163</v>
      </c>
      <c r="B15" s="49" t="s">
        <v>46</v>
      </c>
      <c r="C15" s="50">
        <v>0</v>
      </c>
      <c r="D15" s="50" t="s">
        <v>139</v>
      </c>
      <c r="E15" s="50" t="s">
        <v>138</v>
      </c>
      <c r="F15" s="50" t="s">
        <v>164</v>
      </c>
      <c r="G15" s="50"/>
    </row>
    <row r="16" spans="1:7">
      <c r="A16" s="49" t="s">
        <v>165</v>
      </c>
      <c r="B16" s="49" t="s">
        <v>47</v>
      </c>
      <c r="C16" s="50">
        <v>0</v>
      </c>
      <c r="D16" s="50" t="s">
        <v>139</v>
      </c>
      <c r="E16" s="50" t="s">
        <v>138</v>
      </c>
      <c r="F16" s="50" t="s">
        <v>166</v>
      </c>
      <c r="G16" s="50"/>
    </row>
    <row r="17" spans="1:7">
      <c r="A17" s="49" t="s">
        <v>167</v>
      </c>
      <c r="B17" s="49" t="s">
        <v>48</v>
      </c>
      <c r="C17" s="50">
        <v>0</v>
      </c>
      <c r="D17" s="50" t="s">
        <v>139</v>
      </c>
      <c r="E17" s="50" t="s">
        <v>138</v>
      </c>
      <c r="F17" s="50" t="s">
        <v>168</v>
      </c>
      <c r="G17" s="50"/>
    </row>
    <row r="18" spans="1:7">
      <c r="A18" s="49" t="s">
        <v>169</v>
      </c>
      <c r="B18" s="49" t="s">
        <v>49</v>
      </c>
      <c r="C18" s="50">
        <v>0</v>
      </c>
      <c r="D18" s="50" t="s">
        <v>139</v>
      </c>
      <c r="E18" s="50" t="s">
        <v>138</v>
      </c>
      <c r="F18" s="50" t="s">
        <v>170</v>
      </c>
      <c r="G18" s="50"/>
    </row>
    <row r="19" spans="1:7">
      <c r="A19" s="49" t="s">
        <v>171</v>
      </c>
      <c r="B19" s="49" t="s">
        <v>50</v>
      </c>
      <c r="C19" s="50">
        <v>0</v>
      </c>
      <c r="D19" s="50" t="s">
        <v>139</v>
      </c>
      <c r="E19" s="50" t="s">
        <v>138</v>
      </c>
      <c r="F19" s="50" t="s">
        <v>172</v>
      </c>
      <c r="G19" s="50"/>
    </row>
    <row r="20" spans="1:7">
      <c r="A20" s="49" t="s">
        <v>173</v>
      </c>
      <c r="B20" s="49" t="s">
        <v>51</v>
      </c>
      <c r="C20" s="50">
        <v>0</v>
      </c>
      <c r="D20" s="50" t="s">
        <v>139</v>
      </c>
      <c r="E20" s="50" t="s">
        <v>138</v>
      </c>
      <c r="F20" s="50" t="s">
        <v>174</v>
      </c>
      <c r="G20" s="50"/>
    </row>
    <row r="21" spans="1:7">
      <c r="A21" s="14" t="s">
        <v>175</v>
      </c>
      <c r="B21" s="14" t="s">
        <v>52</v>
      </c>
      <c r="C21" s="6">
        <v>0</v>
      </c>
      <c r="D21" s="6" t="s">
        <v>138</v>
      </c>
      <c r="E21" s="6" t="s">
        <v>139</v>
      </c>
      <c r="F21" s="6"/>
      <c r="G21" s="6" t="s">
        <v>176</v>
      </c>
    </row>
    <row r="22" spans="1:7">
      <c r="A22" s="14" t="s">
        <v>177</v>
      </c>
      <c r="B22" s="14" t="s">
        <v>53</v>
      </c>
      <c r="C22" s="6">
        <v>0</v>
      </c>
      <c r="D22" s="6" t="s">
        <v>138</v>
      </c>
      <c r="E22" s="6" t="s">
        <v>139</v>
      </c>
      <c r="F22" s="6"/>
      <c r="G22" s="6" t="s">
        <v>178</v>
      </c>
    </row>
    <row r="23" spans="1:7">
      <c r="A23" s="14" t="s">
        <v>179</v>
      </c>
      <c r="B23" s="14" t="s">
        <v>54</v>
      </c>
      <c r="C23" s="6">
        <v>0</v>
      </c>
      <c r="D23" s="6" t="s">
        <v>138</v>
      </c>
      <c r="E23" s="6" t="s">
        <v>139</v>
      </c>
      <c r="F23" s="6"/>
      <c r="G23" s="6" t="s">
        <v>180</v>
      </c>
    </row>
    <row r="24" spans="1:7">
      <c r="A24" s="14" t="s">
        <v>181</v>
      </c>
      <c r="B24" s="14" t="s">
        <v>55</v>
      </c>
      <c r="C24" s="6">
        <v>0</v>
      </c>
      <c r="D24" s="6" t="s">
        <v>138</v>
      </c>
      <c r="E24" s="6" t="s">
        <v>139</v>
      </c>
      <c r="F24" s="6"/>
      <c r="G24" s="6" t="s">
        <v>182</v>
      </c>
    </row>
    <row r="25" spans="1:7">
      <c r="A25" s="51" t="s">
        <v>183</v>
      </c>
      <c r="B25" s="51" t="s">
        <v>56</v>
      </c>
      <c r="C25" s="6">
        <v>2</v>
      </c>
      <c r="D25" s="6" t="s">
        <v>138</v>
      </c>
      <c r="E25" s="6" t="s">
        <v>139</v>
      </c>
      <c r="F25" s="51"/>
      <c r="G25" s="38" t="s">
        <v>184</v>
      </c>
    </row>
    <row r="26" spans="1:7">
      <c r="A26" s="14" t="s">
        <v>185</v>
      </c>
      <c r="B26" s="14" t="s">
        <v>57</v>
      </c>
      <c r="C26" s="6">
        <v>2</v>
      </c>
      <c r="D26" s="6" t="s">
        <v>138</v>
      </c>
      <c r="E26" s="6" t="s">
        <v>139</v>
      </c>
      <c r="F26" s="6"/>
      <c r="G26" s="6" t="s">
        <v>186</v>
      </c>
    </row>
    <row r="27" spans="1:7">
      <c r="A27" s="14" t="s">
        <v>187</v>
      </c>
      <c r="B27" s="14" t="s">
        <v>58</v>
      </c>
      <c r="C27" s="6">
        <v>2</v>
      </c>
      <c r="D27" s="6" t="s">
        <v>138</v>
      </c>
      <c r="E27" s="6" t="s">
        <v>139</v>
      </c>
      <c r="F27" s="6"/>
      <c r="G27" s="6"/>
    </row>
    <row r="28" spans="1:7">
      <c r="A28" s="14" t="s">
        <v>188</v>
      </c>
      <c r="B28" s="14" t="s">
        <v>59</v>
      </c>
      <c r="C28" s="6">
        <v>2</v>
      </c>
      <c r="D28" s="6" t="s">
        <v>138</v>
      </c>
      <c r="E28" s="6" t="s">
        <v>139</v>
      </c>
      <c r="F28" s="6"/>
      <c r="G28" s="6"/>
    </row>
    <row r="29" spans="1:7">
      <c r="A29" s="14" t="s">
        <v>189</v>
      </c>
      <c r="B29" s="14" t="s">
        <v>60</v>
      </c>
      <c r="C29" s="6">
        <v>0</v>
      </c>
      <c r="D29" s="6" t="s">
        <v>138</v>
      </c>
      <c r="E29" s="6" t="s">
        <v>139</v>
      </c>
      <c r="F29" s="6"/>
      <c r="G29" s="6"/>
    </row>
    <row r="30" spans="1:7">
      <c r="A30" s="14" t="s">
        <v>190</v>
      </c>
      <c r="B30" s="14" t="s">
        <v>61</v>
      </c>
      <c r="C30" s="6">
        <v>2</v>
      </c>
      <c r="D30" s="6" t="s">
        <v>138</v>
      </c>
      <c r="E30" s="6" t="s">
        <v>139</v>
      </c>
      <c r="F30" s="6"/>
      <c r="G30" s="6"/>
    </row>
    <row r="31" spans="1:7">
      <c r="A31" s="49" t="s">
        <v>191</v>
      </c>
      <c r="B31" s="49" t="s">
        <v>62</v>
      </c>
      <c r="C31" s="50">
        <v>2</v>
      </c>
      <c r="D31" s="50" t="s">
        <v>139</v>
      </c>
      <c r="E31" s="50" t="s">
        <v>138</v>
      </c>
      <c r="F31" s="50"/>
      <c r="G31" s="50"/>
    </row>
    <row r="32" spans="1:7">
      <c r="A32" s="49" t="s">
        <v>192</v>
      </c>
      <c r="B32" s="49" t="s">
        <v>63</v>
      </c>
      <c r="C32" s="50">
        <v>2</v>
      </c>
      <c r="D32" s="50" t="s">
        <v>139</v>
      </c>
      <c r="E32" s="50" t="s">
        <v>138</v>
      </c>
      <c r="F32" s="50"/>
      <c r="G32" s="50"/>
    </row>
    <row r="33" spans="1:7">
      <c r="A33" s="49" t="s">
        <v>193</v>
      </c>
      <c r="B33" s="49" t="s">
        <v>64</v>
      </c>
      <c r="C33" s="50">
        <v>0</v>
      </c>
      <c r="D33" s="50" t="s">
        <v>139</v>
      </c>
      <c r="E33" s="50" t="s">
        <v>138</v>
      </c>
      <c r="F33" s="50"/>
      <c r="G33" s="50"/>
    </row>
    <row r="34" spans="1:7">
      <c r="A34" s="49" t="s">
        <v>194</v>
      </c>
      <c r="B34" s="49" t="s">
        <v>65</v>
      </c>
      <c r="C34" s="50">
        <v>0</v>
      </c>
      <c r="D34" s="50" t="s">
        <v>139</v>
      </c>
      <c r="E34" s="50" t="s">
        <v>138</v>
      </c>
      <c r="F34" s="50"/>
      <c r="G34" s="50"/>
    </row>
    <row r="35" spans="1:7">
      <c r="A35" s="49" t="s">
        <v>195</v>
      </c>
      <c r="B35" s="49" t="s">
        <v>66</v>
      </c>
      <c r="C35" s="50">
        <v>0</v>
      </c>
      <c r="D35" s="50" t="s">
        <v>139</v>
      </c>
      <c r="E35" s="50" t="s">
        <v>138</v>
      </c>
      <c r="F35" s="50"/>
      <c r="G35" s="50"/>
    </row>
    <row r="36" spans="1:7">
      <c r="A36" s="49" t="s">
        <v>196</v>
      </c>
      <c r="B36" s="49" t="s">
        <v>67</v>
      </c>
      <c r="C36" s="50">
        <v>0</v>
      </c>
      <c r="D36" s="50" t="s">
        <v>139</v>
      </c>
      <c r="E36" s="50" t="s">
        <v>138</v>
      </c>
      <c r="F36" s="50"/>
      <c r="G36" s="50"/>
    </row>
    <row r="37" spans="1:7">
      <c r="A37" s="14" t="s">
        <v>197</v>
      </c>
      <c r="B37" s="14" t="s">
        <v>68</v>
      </c>
      <c r="C37" s="6">
        <v>0</v>
      </c>
      <c r="D37" s="6" t="s">
        <v>138</v>
      </c>
      <c r="E37" s="6" t="s">
        <v>139</v>
      </c>
      <c r="F37" s="6"/>
      <c r="G37" s="6"/>
    </row>
    <row r="38" spans="1:7">
      <c r="A38" s="14" t="s">
        <v>198</v>
      </c>
      <c r="B38" s="14" t="s">
        <v>69</v>
      </c>
      <c r="C38" s="6">
        <v>0</v>
      </c>
      <c r="D38" s="6" t="s">
        <v>138</v>
      </c>
      <c r="E38" s="6" t="s">
        <v>139</v>
      </c>
      <c r="F38" s="6"/>
      <c r="G38" s="6"/>
    </row>
    <row r="39" spans="1:7">
      <c r="A39" s="14" t="s">
        <v>199</v>
      </c>
      <c r="B39" s="14" t="s">
        <v>70</v>
      </c>
      <c r="C39" s="6">
        <v>0</v>
      </c>
      <c r="D39" s="6" t="s">
        <v>138</v>
      </c>
      <c r="E39" s="6" t="s">
        <v>139</v>
      </c>
      <c r="F39" s="6"/>
      <c r="G39" s="6"/>
    </row>
    <row r="40" spans="1:7">
      <c r="A40" s="14" t="s">
        <v>200</v>
      </c>
      <c r="B40" s="14" t="s">
        <v>71</v>
      </c>
      <c r="C40" s="6">
        <v>0</v>
      </c>
      <c r="D40" s="6" t="s">
        <v>138</v>
      </c>
      <c r="E40" s="6" t="s">
        <v>139</v>
      </c>
      <c r="F40" s="6"/>
      <c r="G40" s="6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zoomScale="85" zoomScaleNormal="85" topLeftCell="A20" workbookViewId="0">
      <selection activeCell="B27" sqref="B27"/>
    </sheetView>
  </sheetViews>
  <sheetFormatPr defaultColWidth="8.88888888888889" defaultRowHeight="14.4" outlineLevelCol="6"/>
  <cols>
    <col min="1" max="2" width="19.7777777777778" style="2" customWidth="1"/>
    <col min="3" max="3" width="6.11111111111111" style="2" customWidth="1"/>
    <col min="4" max="4" width="14.4444444444444" style="2" customWidth="1"/>
    <col min="5" max="6" width="11.8888888888889" style="2" customWidth="1"/>
    <col min="7" max="7" width="13.1111111111111" style="2" customWidth="1"/>
  </cols>
  <sheetData>
    <row r="1" customFormat="1" ht="17" customHeight="1" spans="1:7">
      <c r="A1" s="45" t="s">
        <v>129</v>
      </c>
      <c r="B1" s="45" t="s">
        <v>130</v>
      </c>
      <c r="C1" s="29" t="s">
        <v>131</v>
      </c>
      <c r="D1" s="29" t="s">
        <v>132</v>
      </c>
      <c r="E1" s="29" t="s">
        <v>133</v>
      </c>
      <c r="F1" s="29" t="s">
        <v>134</v>
      </c>
      <c r="G1" s="29" t="s">
        <v>135</v>
      </c>
    </row>
    <row r="2" spans="1:7">
      <c r="A2" s="14" t="s">
        <v>136</v>
      </c>
      <c r="B2" s="14" t="s">
        <v>0</v>
      </c>
      <c r="C2" s="6"/>
      <c r="D2" s="6"/>
      <c r="E2" s="6"/>
      <c r="F2" s="6"/>
      <c r="G2" s="6"/>
    </row>
    <row r="3" spans="1:7">
      <c r="A3" s="22" t="s">
        <v>79</v>
      </c>
      <c r="B3" s="22" t="s">
        <v>79</v>
      </c>
      <c r="C3" s="23"/>
      <c r="D3" s="23"/>
      <c r="E3" s="23"/>
      <c r="F3" s="23"/>
      <c r="G3" s="23"/>
    </row>
    <row r="4" spans="1:7">
      <c r="A4" s="22" t="s">
        <v>80</v>
      </c>
      <c r="B4" s="22" t="s">
        <v>80</v>
      </c>
      <c r="C4" s="23">
        <v>2</v>
      </c>
      <c r="D4" s="23" t="s">
        <v>138</v>
      </c>
      <c r="E4" s="23" t="s">
        <v>139</v>
      </c>
      <c r="F4" s="23" t="s">
        <v>201</v>
      </c>
      <c r="G4" s="23" t="s">
        <v>202</v>
      </c>
    </row>
    <row r="5" spans="1:7">
      <c r="A5" s="22" t="s">
        <v>81</v>
      </c>
      <c r="B5" s="22" t="s">
        <v>81</v>
      </c>
      <c r="C5" s="23">
        <v>2</v>
      </c>
      <c r="D5" s="23" t="s">
        <v>138</v>
      </c>
      <c r="E5" s="23" t="s">
        <v>139</v>
      </c>
      <c r="F5" s="23" t="s">
        <v>203</v>
      </c>
      <c r="G5" s="23" t="s">
        <v>204</v>
      </c>
    </row>
    <row r="6" spans="1:7">
      <c r="A6" s="22" t="s">
        <v>205</v>
      </c>
      <c r="B6" s="22" t="s">
        <v>205</v>
      </c>
      <c r="C6" s="23">
        <v>2</v>
      </c>
      <c r="D6" s="23" t="s">
        <v>138</v>
      </c>
      <c r="E6" s="23" t="s">
        <v>139</v>
      </c>
      <c r="F6" s="23"/>
      <c r="G6" s="23"/>
    </row>
    <row r="7" spans="1:7">
      <c r="A7" s="14" t="s">
        <v>83</v>
      </c>
      <c r="B7" s="14" t="s">
        <v>83</v>
      </c>
      <c r="C7" s="6"/>
      <c r="D7" s="6"/>
      <c r="E7" s="6"/>
      <c r="F7" s="6"/>
      <c r="G7" s="6"/>
    </row>
    <row r="8" spans="1:7">
      <c r="A8" s="14" t="s">
        <v>84</v>
      </c>
      <c r="B8" s="14" t="s">
        <v>84</v>
      </c>
      <c r="C8" s="6">
        <v>2</v>
      </c>
      <c r="D8" s="6" t="s">
        <v>138</v>
      </c>
      <c r="E8" s="6" t="s">
        <v>139</v>
      </c>
      <c r="F8" s="6" t="s">
        <v>206</v>
      </c>
      <c r="G8" s="6" t="s">
        <v>207</v>
      </c>
    </row>
    <row r="9" spans="1:7">
      <c r="A9" s="14" t="s">
        <v>85</v>
      </c>
      <c r="B9" s="14" t="s">
        <v>85</v>
      </c>
      <c r="C9" s="6">
        <v>2</v>
      </c>
      <c r="D9" s="6" t="s">
        <v>138</v>
      </c>
      <c r="E9" s="6" t="s">
        <v>139</v>
      </c>
      <c r="F9" s="6" t="s">
        <v>208</v>
      </c>
      <c r="G9" s="6" t="s">
        <v>209</v>
      </c>
    </row>
    <row r="10" spans="1:7">
      <c r="A10" s="14" t="s">
        <v>210</v>
      </c>
      <c r="B10" s="14" t="s">
        <v>210</v>
      </c>
      <c r="C10" s="6">
        <v>2</v>
      </c>
      <c r="D10" s="6" t="s">
        <v>138</v>
      </c>
      <c r="E10" s="6" t="s">
        <v>139</v>
      </c>
      <c r="F10" s="6"/>
      <c r="G10" s="6"/>
    </row>
    <row r="11" spans="1:7">
      <c r="A11" s="22" t="s">
        <v>87</v>
      </c>
      <c r="B11" s="22" t="s">
        <v>87</v>
      </c>
      <c r="C11" s="23"/>
      <c r="D11" s="23"/>
      <c r="E11" s="23"/>
      <c r="F11" s="23"/>
      <c r="G11" s="23"/>
    </row>
    <row r="12" spans="1:7">
      <c r="A12" s="22" t="s">
        <v>88</v>
      </c>
      <c r="B12" s="22" t="s">
        <v>88</v>
      </c>
      <c r="C12" s="23">
        <v>2</v>
      </c>
      <c r="D12" s="23" t="s">
        <v>138</v>
      </c>
      <c r="E12" s="23" t="s">
        <v>139</v>
      </c>
      <c r="F12" s="23" t="s">
        <v>201</v>
      </c>
      <c r="G12" s="23" t="s">
        <v>207</v>
      </c>
    </row>
    <row r="13" spans="1:7">
      <c r="A13" s="22" t="s">
        <v>89</v>
      </c>
      <c r="B13" s="22" t="s">
        <v>89</v>
      </c>
      <c r="C13" s="23">
        <v>2</v>
      </c>
      <c r="D13" s="23" t="s">
        <v>138</v>
      </c>
      <c r="E13" s="23" t="s">
        <v>139</v>
      </c>
      <c r="F13" s="23" t="s">
        <v>203</v>
      </c>
      <c r="G13" s="23" t="s">
        <v>211</v>
      </c>
    </row>
    <row r="14" spans="1:7">
      <c r="A14" s="22" t="s">
        <v>212</v>
      </c>
      <c r="B14" s="22" t="s">
        <v>212</v>
      </c>
      <c r="C14" s="23">
        <v>2</v>
      </c>
      <c r="D14" s="23" t="s">
        <v>138</v>
      </c>
      <c r="E14" s="23" t="s">
        <v>139</v>
      </c>
      <c r="F14" s="23"/>
      <c r="G14" s="23"/>
    </row>
    <row r="15" spans="1:7">
      <c r="A15" s="14" t="s">
        <v>91</v>
      </c>
      <c r="B15" s="14" t="s">
        <v>91</v>
      </c>
      <c r="C15" s="6"/>
      <c r="D15" s="6"/>
      <c r="E15" s="6"/>
      <c r="F15" s="6"/>
      <c r="G15" s="6"/>
    </row>
    <row r="16" spans="1:7">
      <c r="A16" s="14" t="s">
        <v>92</v>
      </c>
      <c r="B16" s="14" t="s">
        <v>92</v>
      </c>
      <c r="C16" s="6">
        <v>2</v>
      </c>
      <c r="D16" s="6" t="s">
        <v>138</v>
      </c>
      <c r="E16" s="6" t="s">
        <v>139</v>
      </c>
      <c r="F16" s="6" t="s">
        <v>203</v>
      </c>
      <c r="G16" s="6" t="s">
        <v>213</v>
      </c>
    </row>
    <row r="17" spans="1:7">
      <c r="A17" s="14" t="s">
        <v>93</v>
      </c>
      <c r="B17" s="14" t="s">
        <v>93</v>
      </c>
      <c r="C17" s="6">
        <v>2</v>
      </c>
      <c r="D17" s="6" t="s">
        <v>138</v>
      </c>
      <c r="E17" s="6" t="s">
        <v>139</v>
      </c>
      <c r="F17" s="6" t="s">
        <v>206</v>
      </c>
      <c r="G17" s="6" t="s">
        <v>207</v>
      </c>
    </row>
    <row r="18" spans="1:7">
      <c r="A18" s="14" t="s">
        <v>214</v>
      </c>
      <c r="B18" s="14" t="s">
        <v>214</v>
      </c>
      <c r="C18" s="6">
        <v>2</v>
      </c>
      <c r="D18" s="6" t="s">
        <v>138</v>
      </c>
      <c r="E18" s="6" t="s">
        <v>139</v>
      </c>
      <c r="F18" s="6"/>
      <c r="G18" s="6"/>
    </row>
    <row r="19" spans="1:7">
      <c r="A19" s="22" t="s">
        <v>95</v>
      </c>
      <c r="B19" s="22" t="s">
        <v>95</v>
      </c>
      <c r="C19" s="23"/>
      <c r="D19" s="23"/>
      <c r="E19" s="23"/>
      <c r="F19" s="23"/>
      <c r="G19" s="23"/>
    </row>
    <row r="20" spans="1:7">
      <c r="A20" s="22" t="s">
        <v>96</v>
      </c>
      <c r="B20" s="22" t="s">
        <v>96</v>
      </c>
      <c r="C20" s="23">
        <v>2</v>
      </c>
      <c r="D20" s="23" t="s">
        <v>138</v>
      </c>
      <c r="E20" s="23" t="s">
        <v>139</v>
      </c>
      <c r="F20" s="23" t="s">
        <v>215</v>
      </c>
      <c r="G20" s="23" t="s">
        <v>213</v>
      </c>
    </row>
    <row r="21" spans="1:7">
      <c r="A21" s="22" t="s">
        <v>97</v>
      </c>
      <c r="B21" s="22" t="s">
        <v>97</v>
      </c>
      <c r="C21" s="23">
        <v>2</v>
      </c>
      <c r="D21" s="23" t="s">
        <v>138</v>
      </c>
      <c r="E21" s="23" t="s">
        <v>139</v>
      </c>
      <c r="F21" s="23" t="s">
        <v>203</v>
      </c>
      <c r="G21" s="23" t="s">
        <v>204</v>
      </c>
    </row>
    <row r="22" spans="1:7">
      <c r="A22" s="22" t="s">
        <v>216</v>
      </c>
      <c r="B22" s="22" t="s">
        <v>216</v>
      </c>
      <c r="C22" s="23">
        <v>2</v>
      </c>
      <c r="D22" s="23" t="s">
        <v>138</v>
      </c>
      <c r="E22" s="23" t="s">
        <v>139</v>
      </c>
      <c r="F22" s="23"/>
      <c r="G22" s="23"/>
    </row>
    <row r="23" spans="1:7">
      <c r="A23" s="14" t="s">
        <v>99</v>
      </c>
      <c r="B23" s="14" t="s">
        <v>99</v>
      </c>
      <c r="C23" s="6"/>
      <c r="D23" s="6"/>
      <c r="E23" s="6"/>
      <c r="F23" s="6"/>
      <c r="G23" s="6"/>
    </row>
    <row r="24" spans="1:7">
      <c r="A24" s="14" t="s">
        <v>100</v>
      </c>
      <c r="B24" s="14" t="s">
        <v>100</v>
      </c>
      <c r="C24" s="6">
        <v>2</v>
      </c>
      <c r="D24" s="6" t="s">
        <v>138</v>
      </c>
      <c r="E24" s="6" t="s">
        <v>139</v>
      </c>
      <c r="F24" s="6" t="s">
        <v>201</v>
      </c>
      <c r="G24" s="6" t="s">
        <v>202</v>
      </c>
    </row>
    <row r="25" spans="1:7">
      <c r="A25" s="14" t="s">
        <v>101</v>
      </c>
      <c r="B25" s="14" t="s">
        <v>101</v>
      </c>
      <c r="C25" s="6">
        <v>2</v>
      </c>
      <c r="D25" s="6" t="s">
        <v>138</v>
      </c>
      <c r="E25" s="6" t="s">
        <v>139</v>
      </c>
      <c r="F25" s="6" t="s">
        <v>203</v>
      </c>
      <c r="G25" s="6" t="s">
        <v>204</v>
      </c>
    </row>
    <row r="26" spans="1:7">
      <c r="A26" s="14" t="s">
        <v>217</v>
      </c>
      <c r="B26" s="14" t="s">
        <v>217</v>
      </c>
      <c r="C26" s="6">
        <v>2</v>
      </c>
      <c r="D26" s="6" t="s">
        <v>138</v>
      </c>
      <c r="E26" s="6" t="s">
        <v>139</v>
      </c>
      <c r="F26" s="6"/>
      <c r="G26" s="6"/>
    </row>
    <row r="27" spans="1:7">
      <c r="A27" s="22" t="s">
        <v>103</v>
      </c>
      <c r="B27" s="22" t="s">
        <v>103</v>
      </c>
      <c r="C27" s="23"/>
      <c r="D27" s="23"/>
      <c r="E27" s="23"/>
      <c r="F27" s="23"/>
      <c r="G27" s="23"/>
    </row>
    <row r="28" spans="1:7">
      <c r="A28" s="22" t="s">
        <v>104</v>
      </c>
      <c r="B28" s="22" t="s">
        <v>104</v>
      </c>
      <c r="C28" s="23">
        <v>2</v>
      </c>
      <c r="D28" s="23" t="s">
        <v>138</v>
      </c>
      <c r="E28" s="23" t="s">
        <v>139</v>
      </c>
      <c r="F28" s="23" t="s">
        <v>203</v>
      </c>
      <c r="G28" s="23" t="s">
        <v>204</v>
      </c>
    </row>
    <row r="29" spans="1:7">
      <c r="A29" s="22" t="s">
        <v>105</v>
      </c>
      <c r="B29" s="22" t="s">
        <v>105</v>
      </c>
      <c r="C29" s="23">
        <v>2</v>
      </c>
      <c r="D29" s="23" t="s">
        <v>138</v>
      </c>
      <c r="E29" s="23" t="s">
        <v>139</v>
      </c>
      <c r="F29" s="23" t="s">
        <v>206</v>
      </c>
      <c r="G29" s="23" t="s">
        <v>209</v>
      </c>
    </row>
    <row r="30" spans="1:7">
      <c r="A30" s="22" t="s">
        <v>218</v>
      </c>
      <c r="B30" s="22" t="s">
        <v>218</v>
      </c>
      <c r="C30" s="23">
        <v>2</v>
      </c>
      <c r="D30" s="23" t="s">
        <v>138</v>
      </c>
      <c r="E30" s="23" t="s">
        <v>139</v>
      </c>
      <c r="F30" s="23"/>
      <c r="G30" s="23"/>
    </row>
    <row r="31" spans="1:7">
      <c r="A31" s="14" t="s">
        <v>107</v>
      </c>
      <c r="B31" s="14" t="s">
        <v>107</v>
      </c>
      <c r="C31" s="6"/>
      <c r="D31" s="6"/>
      <c r="E31" s="6"/>
      <c r="F31" s="6"/>
      <c r="G31" s="6"/>
    </row>
    <row r="32" spans="1:7">
      <c r="A32" s="14" t="s">
        <v>108</v>
      </c>
      <c r="B32" s="14" t="s">
        <v>108</v>
      </c>
      <c r="C32" s="6">
        <v>2</v>
      </c>
      <c r="D32" s="6" t="s">
        <v>138</v>
      </c>
      <c r="E32" s="6" t="s">
        <v>139</v>
      </c>
      <c r="F32" s="6" t="s">
        <v>201</v>
      </c>
      <c r="G32" s="6" t="s">
        <v>213</v>
      </c>
    </row>
    <row r="33" spans="1:7">
      <c r="A33" s="14" t="s">
        <v>109</v>
      </c>
      <c r="B33" s="14" t="s">
        <v>109</v>
      </c>
      <c r="C33" s="6">
        <v>2</v>
      </c>
      <c r="D33" s="6" t="s">
        <v>138</v>
      </c>
      <c r="E33" s="6" t="s">
        <v>139</v>
      </c>
      <c r="F33" s="6" t="s">
        <v>203</v>
      </c>
      <c r="G33" s="6" t="s">
        <v>204</v>
      </c>
    </row>
    <row r="34" spans="1:7">
      <c r="A34" s="14" t="s">
        <v>219</v>
      </c>
      <c r="B34" s="14" t="s">
        <v>219</v>
      </c>
      <c r="C34" s="6">
        <v>2</v>
      </c>
      <c r="D34" s="6" t="s">
        <v>138</v>
      </c>
      <c r="E34" s="6" t="s">
        <v>139</v>
      </c>
      <c r="F34" s="6"/>
      <c r="G34" s="6"/>
    </row>
    <row r="35" spans="1:7">
      <c r="A35" s="22" t="s">
        <v>111</v>
      </c>
      <c r="B35" s="22" t="s">
        <v>111</v>
      </c>
      <c r="C35" s="23"/>
      <c r="D35" s="23"/>
      <c r="E35" s="23"/>
      <c r="F35" s="23"/>
      <c r="G35" s="23"/>
    </row>
    <row r="36" spans="1:7">
      <c r="A36" s="22" t="s">
        <v>112</v>
      </c>
      <c r="B36" s="22" t="s">
        <v>112</v>
      </c>
      <c r="C36" s="23">
        <v>2</v>
      </c>
      <c r="D36" s="23" t="s">
        <v>138</v>
      </c>
      <c r="E36" s="23" t="s">
        <v>139</v>
      </c>
      <c r="F36" s="23" t="s">
        <v>201</v>
      </c>
      <c r="G36" s="23" t="s">
        <v>202</v>
      </c>
    </row>
    <row r="37" spans="1:7">
      <c r="A37" s="22" t="s">
        <v>113</v>
      </c>
      <c r="B37" s="22" t="s">
        <v>113</v>
      </c>
      <c r="C37" s="23">
        <v>2</v>
      </c>
      <c r="D37" s="23" t="s">
        <v>138</v>
      </c>
      <c r="E37" s="23" t="s">
        <v>139</v>
      </c>
      <c r="F37" s="23" t="s">
        <v>203</v>
      </c>
      <c r="G37" s="23" t="s">
        <v>204</v>
      </c>
    </row>
    <row r="38" spans="1:7">
      <c r="A38" s="22" t="s">
        <v>220</v>
      </c>
      <c r="B38" s="22" t="s">
        <v>220</v>
      </c>
      <c r="C38" s="23">
        <v>2</v>
      </c>
      <c r="D38" s="23" t="s">
        <v>138</v>
      </c>
      <c r="E38" s="23" t="s">
        <v>139</v>
      </c>
      <c r="F38" s="23"/>
      <c r="G38" s="23"/>
    </row>
    <row r="39" spans="1:7">
      <c r="A39" s="14" t="s">
        <v>115</v>
      </c>
      <c r="B39" s="14" t="s">
        <v>115</v>
      </c>
      <c r="C39" s="6"/>
      <c r="D39" s="6"/>
      <c r="E39" s="6"/>
      <c r="F39" s="6"/>
      <c r="G39" s="6"/>
    </row>
    <row r="40" spans="1:7">
      <c r="A40" s="14" t="s">
        <v>116</v>
      </c>
      <c r="B40" s="14" t="s">
        <v>116</v>
      </c>
      <c r="C40" s="6">
        <v>2</v>
      </c>
      <c r="D40" s="6" t="s">
        <v>138</v>
      </c>
      <c r="E40" s="6" t="s">
        <v>139</v>
      </c>
      <c r="F40" s="6" t="s">
        <v>201</v>
      </c>
      <c r="G40" s="6" t="s">
        <v>213</v>
      </c>
    </row>
    <row r="41" spans="1:7">
      <c r="A41" s="14" t="s">
        <v>117</v>
      </c>
      <c r="B41" s="14" t="s">
        <v>117</v>
      </c>
      <c r="C41" s="6">
        <v>2</v>
      </c>
      <c r="D41" s="6" t="s">
        <v>138</v>
      </c>
      <c r="E41" s="6" t="s">
        <v>139</v>
      </c>
      <c r="F41" s="6" t="s">
        <v>203</v>
      </c>
      <c r="G41" s="6" t="s">
        <v>204</v>
      </c>
    </row>
    <row r="42" spans="1:7">
      <c r="A42" s="14" t="s">
        <v>221</v>
      </c>
      <c r="B42" s="14" t="s">
        <v>221</v>
      </c>
      <c r="C42" s="6">
        <v>2</v>
      </c>
      <c r="D42" s="6" t="s">
        <v>138</v>
      </c>
      <c r="E42" s="6" t="s">
        <v>139</v>
      </c>
      <c r="F42" s="6"/>
      <c r="G42" s="6"/>
    </row>
    <row r="43" spans="1:7">
      <c r="A43" s="22" t="s">
        <v>119</v>
      </c>
      <c r="B43" s="22" t="s">
        <v>119</v>
      </c>
      <c r="C43" s="23"/>
      <c r="D43" s="23"/>
      <c r="E43" s="23"/>
      <c r="F43" s="23"/>
      <c r="G43" s="23"/>
    </row>
    <row r="44" spans="1:7">
      <c r="A44" s="22" t="s">
        <v>120</v>
      </c>
      <c r="B44" s="22" t="s">
        <v>120</v>
      </c>
      <c r="C44" s="23">
        <v>2</v>
      </c>
      <c r="D44" s="23" t="s">
        <v>138</v>
      </c>
      <c r="E44" s="23" t="s">
        <v>139</v>
      </c>
      <c r="F44" s="23" t="s">
        <v>201</v>
      </c>
      <c r="G44" s="23" t="s">
        <v>202</v>
      </c>
    </row>
    <row r="45" spans="1:7">
      <c r="A45" s="22" t="s">
        <v>121</v>
      </c>
      <c r="B45" s="22" t="s">
        <v>121</v>
      </c>
      <c r="C45" s="23">
        <v>2</v>
      </c>
      <c r="D45" s="23" t="s">
        <v>138</v>
      </c>
      <c r="E45" s="23" t="s">
        <v>139</v>
      </c>
      <c r="F45" s="23" t="s">
        <v>206</v>
      </c>
      <c r="G45" s="23" t="s">
        <v>209</v>
      </c>
    </row>
    <row r="46" spans="1:7">
      <c r="A46" s="22" t="s">
        <v>222</v>
      </c>
      <c r="B46" s="22" t="s">
        <v>222</v>
      </c>
      <c r="C46" s="23">
        <v>2</v>
      </c>
      <c r="D46" s="23" t="s">
        <v>138</v>
      </c>
      <c r="E46" s="23" t="s">
        <v>139</v>
      </c>
      <c r="F46" s="23"/>
      <c r="G46" s="23"/>
    </row>
    <row r="47" spans="1:7">
      <c r="A47" s="14" t="s">
        <v>123</v>
      </c>
      <c r="B47" s="14" t="s">
        <v>123</v>
      </c>
      <c r="C47" s="6"/>
      <c r="D47" s="6"/>
      <c r="E47" s="6"/>
      <c r="F47" s="6"/>
      <c r="G47" s="6"/>
    </row>
    <row r="48" spans="1:7">
      <c r="A48" s="14" t="s">
        <v>124</v>
      </c>
      <c r="B48" s="14" t="s">
        <v>124</v>
      </c>
      <c r="C48" s="6">
        <v>2</v>
      </c>
      <c r="D48" s="6" t="s">
        <v>138</v>
      </c>
      <c r="E48" s="6" t="s">
        <v>139</v>
      </c>
      <c r="F48" s="6" t="s">
        <v>201</v>
      </c>
      <c r="G48" s="6" t="s">
        <v>202</v>
      </c>
    </row>
    <row r="49" spans="1:7">
      <c r="A49" s="14" t="s">
        <v>125</v>
      </c>
      <c r="B49" s="14" t="s">
        <v>125</v>
      </c>
      <c r="C49" s="6">
        <v>2</v>
      </c>
      <c r="D49" s="6" t="s">
        <v>138</v>
      </c>
      <c r="E49" s="6" t="s">
        <v>139</v>
      </c>
      <c r="F49" s="6" t="s">
        <v>203</v>
      </c>
      <c r="G49" s="6" t="s">
        <v>204</v>
      </c>
    </row>
    <row r="50" spans="1:7">
      <c r="A50" s="14" t="s">
        <v>223</v>
      </c>
      <c r="B50" s="14" t="s">
        <v>223</v>
      </c>
      <c r="C50" s="6">
        <v>2</v>
      </c>
      <c r="D50" s="6" t="s">
        <v>138</v>
      </c>
      <c r="E50" s="6" t="s">
        <v>139</v>
      </c>
      <c r="F50" s="6"/>
      <c r="G50" s="6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workbookViewId="0">
      <selection activeCell="A11" sqref="A11:J11"/>
    </sheetView>
  </sheetViews>
  <sheetFormatPr defaultColWidth="9" defaultRowHeight="14.4"/>
  <cols>
    <col min="1" max="1" width="9.66666666666667" style="27" customWidth="1"/>
    <col min="2" max="2" width="14.1111111111111" style="28" customWidth="1"/>
    <col min="3" max="3" width="11.8888888888889" style="28" customWidth="1"/>
    <col min="4" max="4" width="10.7777777777778" style="28" customWidth="1"/>
    <col min="5" max="5" width="7.22222222222222" style="28" customWidth="1"/>
    <col min="6" max="6" width="9.44444444444444" style="28" customWidth="1"/>
    <col min="7" max="7" width="10.6666666666667" style="28" customWidth="1"/>
    <col min="8" max="8" width="12.8888888888889" style="2" customWidth="1"/>
    <col min="9" max="9" width="13.1111111111111" style="2" customWidth="1"/>
    <col min="10" max="10" width="14.4444444444444" style="2" customWidth="1"/>
    <col min="11" max="16382" width="9" style="2" customWidth="1"/>
  </cols>
  <sheetData>
    <row r="1" customFormat="1" ht="20" customHeight="1" spans="1:10">
      <c r="A1" s="29" t="s">
        <v>224</v>
      </c>
      <c r="B1" s="29" t="s">
        <v>225</v>
      </c>
      <c r="C1" s="29" t="s">
        <v>226</v>
      </c>
      <c r="D1" s="29" t="s">
        <v>227</v>
      </c>
      <c r="E1" s="29" t="s">
        <v>228</v>
      </c>
      <c r="F1" s="29" t="s">
        <v>229</v>
      </c>
      <c r="G1" s="29" t="s">
        <v>230</v>
      </c>
      <c r="H1" s="29" t="s">
        <v>231</v>
      </c>
      <c r="I1" s="29" t="s">
        <v>232</v>
      </c>
      <c r="J1" s="29" t="s">
        <v>233</v>
      </c>
    </row>
    <row r="2" spans="1:10">
      <c r="A2" s="30" t="s">
        <v>234</v>
      </c>
      <c r="B2" s="30" t="s">
        <v>235</v>
      </c>
      <c r="C2" s="31">
        <v>44927</v>
      </c>
      <c r="D2" s="31">
        <f ca="1" t="shared" ref="D2:D9" si="0">NOW()</f>
        <v>45568.9371296296</v>
      </c>
      <c r="E2" s="30">
        <v>3</v>
      </c>
      <c r="F2" s="30">
        <v>8</v>
      </c>
      <c r="G2" s="30">
        <v>66</v>
      </c>
      <c r="H2" s="32">
        <v>22.3514585</v>
      </c>
      <c r="I2" s="30">
        <v>7.06</v>
      </c>
      <c r="J2" s="42">
        <f ca="1" t="shared" ref="J2:J9" si="1">(1+H2/100)^(1/(YEAR(D2)-YEAR(C2)))-1</f>
        <v>0.223514585</v>
      </c>
    </row>
    <row r="3" spans="1:10">
      <c r="A3" s="33" t="s">
        <v>236</v>
      </c>
      <c r="B3" s="34" t="s">
        <v>237</v>
      </c>
      <c r="C3" s="31">
        <v>44927</v>
      </c>
      <c r="D3" s="31">
        <f ca="1" t="shared" si="0"/>
        <v>45568.9371296296</v>
      </c>
      <c r="E3" s="33">
        <v>4</v>
      </c>
      <c r="F3" s="33">
        <v>22</v>
      </c>
      <c r="G3" s="33">
        <v>73</v>
      </c>
      <c r="H3" s="35">
        <v>35.0298984</v>
      </c>
      <c r="I3" s="33">
        <v>11.41</v>
      </c>
      <c r="J3" s="42">
        <f ca="1" t="shared" si="1"/>
        <v>0.350298984</v>
      </c>
    </row>
    <row r="4" spans="1:10">
      <c r="A4" s="34" t="s">
        <v>238</v>
      </c>
      <c r="B4" s="34" t="s">
        <v>239</v>
      </c>
      <c r="C4" s="36">
        <v>43831</v>
      </c>
      <c r="D4" s="37">
        <f ca="1" t="shared" si="0"/>
        <v>45568.9371296296</v>
      </c>
      <c r="E4" s="33">
        <v>2</v>
      </c>
      <c r="F4" s="33">
        <v>22</v>
      </c>
      <c r="G4" s="33">
        <v>85</v>
      </c>
      <c r="H4" s="35">
        <v>122.4911655</v>
      </c>
      <c r="I4" s="33">
        <v>76.98</v>
      </c>
      <c r="J4" s="43">
        <f ca="1" t="shared" si="1"/>
        <v>0.221316410850353</v>
      </c>
    </row>
    <row r="5" spans="1:10">
      <c r="A5" s="33" t="s">
        <v>240</v>
      </c>
      <c r="B5" s="34" t="s">
        <v>241</v>
      </c>
      <c r="C5" s="36">
        <v>43831</v>
      </c>
      <c r="D5" s="37">
        <f ca="1" t="shared" si="0"/>
        <v>45568.9371296296</v>
      </c>
      <c r="E5" s="33">
        <v>2</v>
      </c>
      <c r="F5" s="33">
        <v>38</v>
      </c>
      <c r="G5" s="33">
        <v>96</v>
      </c>
      <c r="H5" s="35">
        <v>136.13543</v>
      </c>
      <c r="I5" s="33">
        <v>100.05</v>
      </c>
      <c r="J5" s="43">
        <f ca="1" t="shared" si="1"/>
        <v>0.23962489223964</v>
      </c>
    </row>
    <row r="6" spans="1:10">
      <c r="A6" s="33" t="s">
        <v>242</v>
      </c>
      <c r="B6" s="34" t="s">
        <v>243</v>
      </c>
      <c r="C6" s="36">
        <v>43831</v>
      </c>
      <c r="D6" s="37">
        <f ca="1" t="shared" si="0"/>
        <v>45568.9371296296</v>
      </c>
      <c r="E6" s="33">
        <v>6</v>
      </c>
      <c r="F6" s="33">
        <v>4</v>
      </c>
      <c r="G6" s="33">
        <v>95</v>
      </c>
      <c r="H6" s="35">
        <v>95.7546074</v>
      </c>
      <c r="I6" s="33">
        <v>44.37</v>
      </c>
      <c r="J6" s="43">
        <f ca="1" t="shared" si="1"/>
        <v>0.182845435114303</v>
      </c>
    </row>
    <row r="7" spans="1:10">
      <c r="A7" s="33" t="s">
        <v>244</v>
      </c>
      <c r="B7" s="34" t="s">
        <v>245</v>
      </c>
      <c r="C7" s="36">
        <v>43831</v>
      </c>
      <c r="D7" s="37">
        <f ca="1" t="shared" si="0"/>
        <v>45568.9371296296</v>
      </c>
      <c r="E7" s="33">
        <v>9</v>
      </c>
      <c r="F7" s="33">
        <v>28</v>
      </c>
      <c r="G7" s="33">
        <v>86</v>
      </c>
      <c r="H7" s="35">
        <v>123.8525927</v>
      </c>
      <c r="I7" s="33">
        <v>63.41</v>
      </c>
      <c r="J7" s="43">
        <f ca="1" t="shared" si="1"/>
        <v>0.223180452934125</v>
      </c>
    </row>
    <row r="8" spans="1:10">
      <c r="A8" s="33" t="s">
        <v>246</v>
      </c>
      <c r="B8" s="34" t="s">
        <v>247</v>
      </c>
      <c r="C8" s="36">
        <v>43831</v>
      </c>
      <c r="D8" s="37">
        <f ca="1" t="shared" si="0"/>
        <v>45568.9371296296</v>
      </c>
      <c r="E8" s="33">
        <v>5</v>
      </c>
      <c r="F8" s="33">
        <v>20</v>
      </c>
      <c r="G8" s="33">
        <v>87</v>
      </c>
      <c r="H8" s="35">
        <v>81.41461922</v>
      </c>
      <c r="I8" s="33">
        <v>26.39</v>
      </c>
      <c r="J8" s="43">
        <f ca="1" t="shared" si="1"/>
        <v>0.160561262260873</v>
      </c>
    </row>
    <row r="9" spans="1:10">
      <c r="A9" s="33" t="s">
        <v>248</v>
      </c>
      <c r="B9" s="34" t="s">
        <v>249</v>
      </c>
      <c r="C9" s="36">
        <v>44927</v>
      </c>
      <c r="D9" s="37">
        <f ca="1" t="shared" si="0"/>
        <v>45568.9371296296</v>
      </c>
      <c r="E9" s="33">
        <v>10</v>
      </c>
      <c r="F9" s="33">
        <v>39</v>
      </c>
      <c r="G9" s="33">
        <v>83</v>
      </c>
      <c r="H9" s="35">
        <v>47.02060524</v>
      </c>
      <c r="I9" s="33">
        <v>37.82</v>
      </c>
      <c r="J9" s="43">
        <f ca="1" t="shared" si="1"/>
        <v>0.4702060524</v>
      </c>
    </row>
    <row r="10" spans="1:10">
      <c r="A10" s="6" t="s">
        <v>250</v>
      </c>
      <c r="B10" s="38" t="s">
        <v>251</v>
      </c>
      <c r="C10" s="39">
        <v>44927</v>
      </c>
      <c r="D10" s="40">
        <v>45568.9296527778</v>
      </c>
      <c r="E10" s="6">
        <v>5</v>
      </c>
      <c r="F10" s="6">
        <v>21</v>
      </c>
      <c r="G10" s="6">
        <v>65</v>
      </c>
      <c r="H10" s="41">
        <v>27.8860732</v>
      </c>
      <c r="I10" s="6">
        <v>-10.97</v>
      </c>
      <c r="J10" s="44">
        <v>0.278860732</v>
      </c>
    </row>
    <row r="11" spans="1:10">
      <c r="A11" s="6" t="s">
        <v>252</v>
      </c>
      <c r="B11" s="38" t="s">
        <v>253</v>
      </c>
      <c r="C11" s="39">
        <v>44927</v>
      </c>
      <c r="D11" s="40">
        <f ca="1">NOW()</f>
        <v>45568.9371296296</v>
      </c>
      <c r="E11" s="6">
        <v>3</v>
      </c>
      <c r="F11" s="6">
        <v>4</v>
      </c>
      <c r="G11" s="6">
        <v>93</v>
      </c>
      <c r="H11" s="41">
        <v>17.4948656</v>
      </c>
      <c r="I11" s="6">
        <v>-7.7</v>
      </c>
      <c r="J11" s="44">
        <f ca="1">(1+H11/100)^(1/(YEAR(D11)-YEAR(C11)))-1</f>
        <v>0.174948656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zoomScale="85" zoomScaleNormal="85" topLeftCell="A19" workbookViewId="0">
      <selection activeCell="A38" sqref="A38:B39"/>
    </sheetView>
  </sheetViews>
  <sheetFormatPr defaultColWidth="8.88888888888889" defaultRowHeight="14.4"/>
  <cols>
    <col min="1" max="1" width="18.6666666666667" style="2" customWidth="1"/>
    <col min="2" max="2" width="22.7314814814815" style="2" customWidth="1"/>
    <col min="3" max="3" width="14.1111111111111" style="3" customWidth="1"/>
    <col min="4" max="4" width="47.4444444444444" style="4" customWidth="1"/>
    <col min="5" max="5" width="12.8055555555556" style="2" customWidth="1"/>
    <col min="6" max="10" width="8.88888888888889" customWidth="1"/>
    <col min="11" max="11" width="11.8888888888889" customWidth="1"/>
    <col min="12" max="12" width="19.7777777777778" customWidth="1"/>
    <col min="13" max="16" width="8.88888888888889" customWidth="1"/>
    <col min="17" max="17" width="13.1111111111111" customWidth="1"/>
    <col min="18" max="18" width="33.2222222222222" customWidth="1"/>
    <col min="19" max="16384" width="8.88888888888889" customWidth="1"/>
  </cols>
  <sheetData>
    <row r="1" customFormat="1" spans="1:17">
      <c r="A1" s="5" t="s">
        <v>129</v>
      </c>
      <c r="B1" s="5" t="s">
        <v>130</v>
      </c>
      <c r="C1" s="6" t="s">
        <v>254</v>
      </c>
      <c r="D1" s="7" t="s">
        <v>255</v>
      </c>
      <c r="E1" s="6" t="s">
        <v>256</v>
      </c>
      <c r="G1" s="6" t="s">
        <v>257</v>
      </c>
      <c r="H1" s="6" t="s">
        <v>258</v>
      </c>
      <c r="K1" s="20" t="s">
        <v>129</v>
      </c>
      <c r="L1" s="20" t="s">
        <v>130</v>
      </c>
      <c r="M1" s="21" t="s">
        <v>131</v>
      </c>
      <c r="N1" s="21" t="s">
        <v>132</v>
      </c>
      <c r="O1" s="21" t="s">
        <v>133</v>
      </c>
      <c r="P1" s="21" t="s">
        <v>134</v>
      </c>
      <c r="Q1" s="21" t="s">
        <v>135</v>
      </c>
    </row>
    <row r="2" customFormat="1" spans="1:17">
      <c r="A2" s="5" t="s">
        <v>136</v>
      </c>
      <c r="B2" s="5" t="s">
        <v>0</v>
      </c>
      <c r="C2" s="6"/>
      <c r="D2" s="8"/>
      <c r="E2" s="5"/>
      <c r="G2" s="6" t="s">
        <v>259</v>
      </c>
      <c r="H2" s="6" t="s">
        <v>260</v>
      </c>
      <c r="K2" s="14" t="s">
        <v>136</v>
      </c>
      <c r="L2" s="14" t="s">
        <v>0</v>
      </c>
      <c r="M2" s="6"/>
      <c r="N2" s="6"/>
      <c r="O2" s="6"/>
      <c r="P2" s="6"/>
      <c r="Q2" s="6"/>
    </row>
    <row r="3" customFormat="1" spans="1:17">
      <c r="A3" s="5" t="s">
        <v>137</v>
      </c>
      <c r="B3" s="5" t="s">
        <v>31</v>
      </c>
      <c r="C3" s="6">
        <v>2</v>
      </c>
      <c r="D3" s="8"/>
      <c r="E3" s="5"/>
      <c r="K3" s="22" t="s">
        <v>79</v>
      </c>
      <c r="L3" s="22" t="s">
        <v>79</v>
      </c>
      <c r="M3" s="23"/>
      <c r="N3" s="23"/>
      <c r="O3" s="23"/>
      <c r="P3" s="23"/>
      <c r="Q3" s="23"/>
    </row>
    <row r="4" customFormat="1" spans="1:17">
      <c r="A4" s="5" t="s">
        <v>140</v>
      </c>
      <c r="B4" s="5" t="s">
        <v>32</v>
      </c>
      <c r="C4" s="6"/>
      <c r="D4" s="8"/>
      <c r="E4" s="5"/>
      <c r="G4" s="6" t="s">
        <v>138</v>
      </c>
      <c r="H4" s="5" t="s">
        <v>139</v>
      </c>
      <c r="K4" s="22" t="s">
        <v>80</v>
      </c>
      <c r="L4" s="22" t="s">
        <v>80</v>
      </c>
      <c r="M4" s="23">
        <v>2</v>
      </c>
      <c r="N4" s="23" t="s">
        <v>138</v>
      </c>
      <c r="O4" s="23" t="s">
        <v>139</v>
      </c>
      <c r="P4" s="23" t="s">
        <v>201</v>
      </c>
      <c r="Q4" s="23" t="s">
        <v>202</v>
      </c>
    </row>
    <row r="5" customFormat="1" spans="1:17">
      <c r="A5" s="5" t="s">
        <v>141</v>
      </c>
      <c r="B5" s="5" t="s">
        <v>36</v>
      </c>
      <c r="C5" s="6">
        <v>2</v>
      </c>
      <c r="D5" s="8"/>
      <c r="E5" s="5"/>
      <c r="G5" s="9"/>
      <c r="H5" s="10"/>
      <c r="K5" s="22" t="s">
        <v>81</v>
      </c>
      <c r="L5" s="22" t="s">
        <v>81</v>
      </c>
      <c r="M5" s="23">
        <v>2</v>
      </c>
      <c r="N5" s="23" t="s">
        <v>138</v>
      </c>
      <c r="O5" s="23" t="s">
        <v>139</v>
      </c>
      <c r="P5" s="23" t="s">
        <v>203</v>
      </c>
      <c r="Q5" s="23" t="s">
        <v>204</v>
      </c>
    </row>
    <row r="6" customFormat="1" spans="1:18">
      <c r="A6" s="5" t="s">
        <v>142</v>
      </c>
      <c r="B6" s="5" t="s">
        <v>37</v>
      </c>
      <c r="C6" s="6">
        <v>2</v>
      </c>
      <c r="D6" s="8"/>
      <c r="E6" s="5"/>
      <c r="K6" s="22" t="s">
        <v>261</v>
      </c>
      <c r="L6" s="22" t="s">
        <v>261</v>
      </c>
      <c r="M6" s="23">
        <v>2</v>
      </c>
      <c r="N6" s="23" t="s">
        <v>138</v>
      </c>
      <c r="O6" s="23" t="s">
        <v>139</v>
      </c>
      <c r="P6" s="23"/>
      <c r="Q6" s="23"/>
      <c r="R6" s="25" t="s">
        <v>262</v>
      </c>
    </row>
    <row r="7" customFormat="1" ht="28.8" customHeight="1" spans="1:18">
      <c r="A7" s="5" t="s">
        <v>143</v>
      </c>
      <c r="B7" s="5" t="s">
        <v>38</v>
      </c>
      <c r="C7" s="6">
        <v>2</v>
      </c>
      <c r="D7" s="8"/>
      <c r="E7" s="5"/>
      <c r="K7" s="24" t="s">
        <v>263</v>
      </c>
      <c r="L7" s="22" t="s">
        <v>263</v>
      </c>
      <c r="M7" s="23">
        <v>2</v>
      </c>
      <c r="N7" s="23" t="s">
        <v>138</v>
      </c>
      <c r="O7" s="23" t="s">
        <v>139</v>
      </c>
      <c r="P7" s="23"/>
      <c r="Q7" s="23"/>
      <c r="R7" s="26" t="s">
        <v>264</v>
      </c>
    </row>
    <row r="8" customFormat="1" spans="1:17">
      <c r="A8" s="5" t="s">
        <v>265</v>
      </c>
      <c r="B8" s="5" t="s">
        <v>266</v>
      </c>
      <c r="C8" s="6">
        <v>2</v>
      </c>
      <c r="D8" s="8"/>
      <c r="E8" s="5"/>
      <c r="K8" s="14" t="s">
        <v>83</v>
      </c>
      <c r="L8" s="14" t="s">
        <v>83</v>
      </c>
      <c r="M8" s="6"/>
      <c r="N8" s="6"/>
      <c r="O8" s="6"/>
      <c r="P8" s="6"/>
      <c r="Q8" s="6"/>
    </row>
    <row r="9" customFormat="1" spans="1:17">
      <c r="A9" s="5" t="s">
        <v>267</v>
      </c>
      <c r="B9" s="5" t="s">
        <v>268</v>
      </c>
      <c r="C9" s="6">
        <v>0</v>
      </c>
      <c r="D9" s="8"/>
      <c r="E9" s="5"/>
      <c r="K9" s="14" t="s">
        <v>84</v>
      </c>
      <c r="L9" s="14" t="s">
        <v>84</v>
      </c>
      <c r="M9" s="6">
        <v>2</v>
      </c>
      <c r="N9" s="6" t="s">
        <v>138</v>
      </c>
      <c r="O9" s="6" t="s">
        <v>139</v>
      </c>
      <c r="P9" s="6" t="s">
        <v>201</v>
      </c>
      <c r="Q9" s="6" t="s">
        <v>202</v>
      </c>
    </row>
    <row r="10" customFormat="1" spans="1:17">
      <c r="A10" s="11" t="s">
        <v>144</v>
      </c>
      <c r="B10" s="11" t="s">
        <v>39</v>
      </c>
      <c r="C10" s="12">
        <v>2</v>
      </c>
      <c r="D10" s="11" t="s">
        <v>269</v>
      </c>
      <c r="E10" s="11"/>
      <c r="K10" s="14" t="s">
        <v>85</v>
      </c>
      <c r="L10" s="14" t="s">
        <v>85</v>
      </c>
      <c r="M10" s="6">
        <v>2</v>
      </c>
      <c r="N10" s="6" t="s">
        <v>138</v>
      </c>
      <c r="O10" s="6" t="s">
        <v>139</v>
      </c>
      <c r="P10" s="6" t="s">
        <v>203</v>
      </c>
      <c r="Q10" s="6" t="s">
        <v>204</v>
      </c>
    </row>
    <row r="11" customFormat="1" spans="1:17">
      <c r="A11" s="5" t="s">
        <v>147</v>
      </c>
      <c r="B11" s="5" t="s">
        <v>40</v>
      </c>
      <c r="C11" s="6">
        <v>2</v>
      </c>
      <c r="D11" s="8"/>
      <c r="E11" s="5"/>
      <c r="K11" s="14" t="s">
        <v>270</v>
      </c>
      <c r="L11" s="14" t="s">
        <v>270</v>
      </c>
      <c r="M11" s="6">
        <v>2</v>
      </c>
      <c r="N11" s="6" t="s">
        <v>138</v>
      </c>
      <c r="O11" s="6" t="s">
        <v>139</v>
      </c>
      <c r="P11" s="6"/>
      <c r="Q11" s="6"/>
    </row>
    <row r="12" customFormat="1" spans="1:17">
      <c r="A12" s="5" t="s">
        <v>271</v>
      </c>
      <c r="B12" s="5" t="s">
        <v>272</v>
      </c>
      <c r="C12" s="6">
        <v>2</v>
      </c>
      <c r="D12" s="8"/>
      <c r="E12" s="5"/>
      <c r="K12" s="5" t="s">
        <v>273</v>
      </c>
      <c r="L12" s="14" t="s">
        <v>273</v>
      </c>
      <c r="M12" s="6">
        <v>2</v>
      </c>
      <c r="N12" s="6" t="s">
        <v>138</v>
      </c>
      <c r="O12" s="6" t="s">
        <v>139</v>
      </c>
      <c r="P12" s="6"/>
      <c r="Q12" s="6"/>
    </row>
    <row r="13" s="1" customFormat="1" ht="15" customHeight="1" spans="1:18">
      <c r="A13" s="5" t="s">
        <v>175</v>
      </c>
      <c r="B13" s="5" t="s">
        <v>52</v>
      </c>
      <c r="C13" s="6">
        <v>0</v>
      </c>
      <c r="D13" s="8" t="s">
        <v>274</v>
      </c>
      <c r="E13" s="5"/>
      <c r="K13" s="22" t="s">
        <v>87</v>
      </c>
      <c r="L13" s="22" t="s">
        <v>87</v>
      </c>
      <c r="M13" s="23"/>
      <c r="N13" s="23"/>
      <c r="O13" s="23"/>
      <c r="P13" s="23"/>
      <c r="Q13" s="23"/>
      <c r="R13"/>
    </row>
    <row r="14" customFormat="1" spans="1:17">
      <c r="A14" s="5" t="s">
        <v>161</v>
      </c>
      <c r="B14" s="5" t="s">
        <v>45</v>
      </c>
      <c r="C14" s="6">
        <v>0</v>
      </c>
      <c r="D14" s="8" t="s">
        <v>275</v>
      </c>
      <c r="E14" s="5"/>
      <c r="K14" s="22" t="s">
        <v>88</v>
      </c>
      <c r="L14" s="22" t="s">
        <v>88</v>
      </c>
      <c r="M14" s="23">
        <v>2</v>
      </c>
      <c r="N14" s="23" t="s">
        <v>138</v>
      </c>
      <c r="O14" s="23" t="s">
        <v>139</v>
      </c>
      <c r="P14" s="23" t="s">
        <v>201</v>
      </c>
      <c r="Q14" s="23" t="s">
        <v>202</v>
      </c>
    </row>
    <row r="15" customFormat="1" spans="1:17">
      <c r="A15" s="5" t="s">
        <v>163</v>
      </c>
      <c r="B15" s="5" t="s">
        <v>276</v>
      </c>
      <c r="C15" s="6">
        <v>0</v>
      </c>
      <c r="D15" s="13"/>
      <c r="E15" s="14"/>
      <c r="K15" s="22" t="s">
        <v>89</v>
      </c>
      <c r="L15" s="22" t="s">
        <v>89</v>
      </c>
      <c r="M15" s="23">
        <v>2</v>
      </c>
      <c r="N15" s="23" t="s">
        <v>138</v>
      </c>
      <c r="O15" s="23" t="s">
        <v>139</v>
      </c>
      <c r="P15" s="23" t="s">
        <v>203</v>
      </c>
      <c r="Q15" s="23" t="s">
        <v>204</v>
      </c>
    </row>
    <row r="16" customFormat="1" spans="1:17">
      <c r="A16" s="5" t="s">
        <v>158</v>
      </c>
      <c r="B16" s="5" t="s">
        <v>44</v>
      </c>
      <c r="C16" s="6">
        <v>2</v>
      </c>
      <c r="D16" s="8"/>
      <c r="E16" s="5"/>
      <c r="K16" s="22" t="s">
        <v>277</v>
      </c>
      <c r="L16" s="22" t="s">
        <v>277</v>
      </c>
      <c r="M16" s="23">
        <v>2</v>
      </c>
      <c r="N16" s="23" t="s">
        <v>138</v>
      </c>
      <c r="O16" s="23" t="s">
        <v>139</v>
      </c>
      <c r="P16" s="23"/>
      <c r="Q16" s="23"/>
    </row>
    <row r="17" customFormat="1" spans="1:17">
      <c r="A17" s="5" t="s">
        <v>278</v>
      </c>
      <c r="B17" s="5" t="s">
        <v>279</v>
      </c>
      <c r="C17" s="6">
        <v>2</v>
      </c>
      <c r="D17" s="8"/>
      <c r="E17" s="5"/>
      <c r="K17" s="24" t="s">
        <v>280</v>
      </c>
      <c r="L17" s="22" t="s">
        <v>280</v>
      </c>
      <c r="M17" s="23">
        <v>2</v>
      </c>
      <c r="N17" s="23" t="s">
        <v>138</v>
      </c>
      <c r="O17" s="23" t="s">
        <v>139</v>
      </c>
      <c r="P17" s="23"/>
      <c r="Q17" s="23"/>
    </row>
    <row r="18" customFormat="1" ht="19" customHeight="1" spans="1:17">
      <c r="A18" s="5" t="s">
        <v>281</v>
      </c>
      <c r="B18" s="5" t="s">
        <v>282</v>
      </c>
      <c r="C18" s="6">
        <v>2</v>
      </c>
      <c r="D18" s="8"/>
      <c r="E18" s="5"/>
      <c r="K18" s="14" t="s">
        <v>91</v>
      </c>
      <c r="L18" s="14" t="s">
        <v>91</v>
      </c>
      <c r="M18" s="6"/>
      <c r="N18" s="6"/>
      <c r="O18" s="6"/>
      <c r="P18" s="6"/>
      <c r="Q18" s="6"/>
    </row>
    <row r="19" customFormat="1" ht="43.2" customHeight="1" spans="1:17">
      <c r="A19" s="15" t="s">
        <v>155</v>
      </c>
      <c r="B19" s="15" t="s">
        <v>43</v>
      </c>
      <c r="C19" s="6" t="s">
        <v>149</v>
      </c>
      <c r="D19" s="16" t="s">
        <v>283</v>
      </c>
      <c r="E19" s="17" t="s">
        <v>284</v>
      </c>
      <c r="K19" s="14" t="s">
        <v>92</v>
      </c>
      <c r="L19" s="14" t="s">
        <v>92</v>
      </c>
      <c r="M19" s="6">
        <v>2</v>
      </c>
      <c r="N19" s="6" t="s">
        <v>138</v>
      </c>
      <c r="O19" s="6" t="s">
        <v>139</v>
      </c>
      <c r="P19" s="6" t="s">
        <v>201</v>
      </c>
      <c r="Q19" s="6" t="s">
        <v>202</v>
      </c>
    </row>
    <row r="20" customFormat="1" spans="1:17">
      <c r="A20" s="5" t="s">
        <v>148</v>
      </c>
      <c r="B20" s="5" t="s">
        <v>41</v>
      </c>
      <c r="C20" s="6" t="s">
        <v>149</v>
      </c>
      <c r="D20" s="8" t="s">
        <v>285</v>
      </c>
      <c r="E20" s="18"/>
      <c r="K20" s="14" t="s">
        <v>93</v>
      </c>
      <c r="L20" s="14" t="s">
        <v>93</v>
      </c>
      <c r="M20" s="6">
        <v>2</v>
      </c>
      <c r="N20" s="6" t="s">
        <v>138</v>
      </c>
      <c r="O20" s="6" t="s">
        <v>139</v>
      </c>
      <c r="P20" s="6" t="s">
        <v>203</v>
      </c>
      <c r="Q20" s="6" t="s">
        <v>204</v>
      </c>
    </row>
    <row r="21" customFormat="1" spans="1:17">
      <c r="A21" s="5" t="s">
        <v>286</v>
      </c>
      <c r="B21" s="5" t="s">
        <v>287</v>
      </c>
      <c r="C21" s="6" t="s">
        <v>149</v>
      </c>
      <c r="D21" s="8" t="s">
        <v>288</v>
      </c>
      <c r="E21" s="5"/>
      <c r="K21" s="14" t="s">
        <v>289</v>
      </c>
      <c r="L21" s="14" t="s">
        <v>289</v>
      </c>
      <c r="M21" s="6">
        <v>2</v>
      </c>
      <c r="N21" s="6" t="s">
        <v>138</v>
      </c>
      <c r="O21" s="6" t="s">
        <v>139</v>
      </c>
      <c r="P21" s="6"/>
      <c r="Q21" s="6"/>
    </row>
    <row r="22" customFormat="1" spans="1:17">
      <c r="A22" s="14" t="s">
        <v>290</v>
      </c>
      <c r="B22" s="14" t="s">
        <v>291</v>
      </c>
      <c r="C22" s="6" t="s">
        <v>149</v>
      </c>
      <c r="D22" s="8"/>
      <c r="E22" s="5"/>
      <c r="K22" s="5" t="s">
        <v>292</v>
      </c>
      <c r="L22" s="14" t="s">
        <v>292</v>
      </c>
      <c r="M22" s="6">
        <v>2</v>
      </c>
      <c r="N22" s="6" t="s">
        <v>138</v>
      </c>
      <c r="O22" s="6" t="s">
        <v>139</v>
      </c>
      <c r="P22" s="6"/>
      <c r="Q22" s="6"/>
    </row>
    <row r="23" customFormat="1" spans="1:17">
      <c r="A23" s="5" t="s">
        <v>293</v>
      </c>
      <c r="B23" s="5" t="s">
        <v>294</v>
      </c>
      <c r="C23" s="6" t="s">
        <v>149</v>
      </c>
      <c r="D23" s="8"/>
      <c r="E23" s="5"/>
      <c r="K23" s="22" t="s">
        <v>95</v>
      </c>
      <c r="L23" s="22" t="s">
        <v>95</v>
      </c>
      <c r="M23" s="23"/>
      <c r="N23" s="23"/>
      <c r="O23" s="23"/>
      <c r="P23" s="23"/>
      <c r="Q23" s="23"/>
    </row>
    <row r="24" customFormat="1" spans="1:17">
      <c r="A24" s="5" t="s">
        <v>295</v>
      </c>
      <c r="B24" s="5" t="s">
        <v>296</v>
      </c>
      <c r="C24" s="6" t="s">
        <v>149</v>
      </c>
      <c r="D24" s="8"/>
      <c r="E24" s="5"/>
      <c r="K24" s="22" t="s">
        <v>96</v>
      </c>
      <c r="L24" s="22" t="s">
        <v>96</v>
      </c>
      <c r="M24" s="23">
        <v>2</v>
      </c>
      <c r="N24" s="23" t="s">
        <v>138</v>
      </c>
      <c r="O24" s="23" t="s">
        <v>139</v>
      </c>
      <c r="P24" s="23" t="s">
        <v>201</v>
      </c>
      <c r="Q24" s="23" t="s">
        <v>202</v>
      </c>
    </row>
    <row r="25" customFormat="1" spans="1:17">
      <c r="A25" s="5" t="s">
        <v>297</v>
      </c>
      <c r="B25" s="5" t="s">
        <v>298</v>
      </c>
      <c r="C25" s="6" t="s">
        <v>149</v>
      </c>
      <c r="D25" s="8"/>
      <c r="E25" s="5"/>
      <c r="K25" s="22" t="s">
        <v>97</v>
      </c>
      <c r="L25" s="22" t="s">
        <v>97</v>
      </c>
      <c r="M25" s="23">
        <v>2</v>
      </c>
      <c r="N25" s="23" t="s">
        <v>138</v>
      </c>
      <c r="O25" s="23" t="s">
        <v>139</v>
      </c>
      <c r="P25" s="23" t="s">
        <v>203</v>
      </c>
      <c r="Q25" s="23" t="s">
        <v>204</v>
      </c>
    </row>
    <row r="26" customFormat="1" spans="1:17">
      <c r="A26" s="5" t="s">
        <v>299</v>
      </c>
      <c r="B26" s="5" t="s">
        <v>300</v>
      </c>
      <c r="C26" s="6" t="s">
        <v>149</v>
      </c>
      <c r="D26" s="8"/>
      <c r="E26" s="5"/>
      <c r="K26" s="22" t="s">
        <v>301</v>
      </c>
      <c r="L26" s="22" t="s">
        <v>301</v>
      </c>
      <c r="M26" s="23">
        <v>2</v>
      </c>
      <c r="N26" s="23" t="s">
        <v>138</v>
      </c>
      <c r="O26" s="23" t="s">
        <v>139</v>
      </c>
      <c r="P26" s="23"/>
      <c r="Q26" s="23"/>
    </row>
    <row r="27" customFormat="1" ht="43.2" customHeight="1" spans="1:17">
      <c r="A27" s="5" t="s">
        <v>302</v>
      </c>
      <c r="B27" s="5" t="s">
        <v>303</v>
      </c>
      <c r="C27" s="6">
        <v>2</v>
      </c>
      <c r="D27" s="19" t="s">
        <v>304</v>
      </c>
      <c r="E27" s="18" t="s">
        <v>305</v>
      </c>
      <c r="K27" s="24" t="s">
        <v>306</v>
      </c>
      <c r="L27" s="22" t="s">
        <v>306</v>
      </c>
      <c r="M27" s="23">
        <v>2</v>
      </c>
      <c r="N27" s="23" t="s">
        <v>138</v>
      </c>
      <c r="O27" s="23" t="s">
        <v>139</v>
      </c>
      <c r="P27" s="23"/>
      <c r="Q27" s="23"/>
    </row>
    <row r="28" customFormat="1" ht="43.2" customHeight="1" spans="1:17">
      <c r="A28" s="5" t="s">
        <v>307</v>
      </c>
      <c r="B28" s="5" t="s">
        <v>308</v>
      </c>
      <c r="C28" s="6">
        <v>2</v>
      </c>
      <c r="D28" s="19" t="s">
        <v>309</v>
      </c>
      <c r="E28" s="18" t="s">
        <v>310</v>
      </c>
      <c r="K28" s="14" t="s">
        <v>99</v>
      </c>
      <c r="L28" s="14" t="s">
        <v>99</v>
      </c>
      <c r="M28" s="6"/>
      <c r="N28" s="6"/>
      <c r="O28" s="6"/>
      <c r="P28" s="6"/>
      <c r="Q28" s="6"/>
    </row>
    <row r="29" customFormat="1" spans="1:17">
      <c r="A29" s="5" t="s">
        <v>165</v>
      </c>
      <c r="B29" s="5" t="s">
        <v>47</v>
      </c>
      <c r="C29" s="6">
        <v>0</v>
      </c>
      <c r="D29" s="8"/>
      <c r="E29" s="5"/>
      <c r="K29" s="14" t="s">
        <v>100</v>
      </c>
      <c r="L29" s="14" t="s">
        <v>100</v>
      </c>
      <c r="M29" s="6">
        <v>2</v>
      </c>
      <c r="N29" s="6" t="s">
        <v>138</v>
      </c>
      <c r="O29" s="6" t="s">
        <v>139</v>
      </c>
      <c r="P29" s="6" t="s">
        <v>201</v>
      </c>
      <c r="Q29" s="6" t="s">
        <v>202</v>
      </c>
    </row>
    <row r="30" customFormat="1" spans="1:17">
      <c r="A30" s="5" t="s">
        <v>169</v>
      </c>
      <c r="B30" s="5" t="s">
        <v>49</v>
      </c>
      <c r="C30" s="6">
        <v>0</v>
      </c>
      <c r="D30" s="8"/>
      <c r="E30" s="5"/>
      <c r="K30" s="14" t="s">
        <v>101</v>
      </c>
      <c r="L30" s="14" t="s">
        <v>101</v>
      </c>
      <c r="M30" s="6">
        <v>2</v>
      </c>
      <c r="N30" s="6" t="s">
        <v>138</v>
      </c>
      <c r="O30" s="6" t="s">
        <v>139</v>
      </c>
      <c r="P30" s="6" t="s">
        <v>203</v>
      </c>
      <c r="Q30" s="6" t="s">
        <v>204</v>
      </c>
    </row>
    <row r="31" customFormat="1" spans="1:17">
      <c r="A31" s="5" t="s">
        <v>177</v>
      </c>
      <c r="B31" s="5" t="s">
        <v>53</v>
      </c>
      <c r="C31" s="6">
        <v>0</v>
      </c>
      <c r="D31" s="8"/>
      <c r="E31" s="5"/>
      <c r="K31" s="14" t="s">
        <v>311</v>
      </c>
      <c r="L31" s="14" t="s">
        <v>311</v>
      </c>
      <c r="M31" s="6">
        <v>2</v>
      </c>
      <c r="N31" s="6" t="s">
        <v>138</v>
      </c>
      <c r="O31" s="6" t="s">
        <v>139</v>
      </c>
      <c r="P31" s="6"/>
      <c r="Q31" s="6"/>
    </row>
    <row r="32" customFormat="1" spans="1:17">
      <c r="A32" s="5" t="s">
        <v>167</v>
      </c>
      <c r="B32" s="5" t="s">
        <v>48</v>
      </c>
      <c r="C32" s="6">
        <v>0</v>
      </c>
      <c r="D32" s="8"/>
      <c r="E32" s="5"/>
      <c r="K32" s="5" t="s">
        <v>312</v>
      </c>
      <c r="L32" s="14" t="s">
        <v>312</v>
      </c>
      <c r="M32" s="6">
        <v>2</v>
      </c>
      <c r="N32" s="6" t="s">
        <v>138</v>
      </c>
      <c r="O32" s="6" t="s">
        <v>139</v>
      </c>
      <c r="P32" s="6"/>
      <c r="Q32" s="6"/>
    </row>
    <row r="33" customFormat="1" spans="1:17">
      <c r="A33" s="5" t="s">
        <v>185</v>
      </c>
      <c r="B33" s="5" t="s">
        <v>57</v>
      </c>
      <c r="C33" s="6">
        <v>2</v>
      </c>
      <c r="D33" s="8"/>
      <c r="E33" s="5"/>
      <c r="K33" s="22" t="s">
        <v>103</v>
      </c>
      <c r="L33" s="22" t="s">
        <v>103</v>
      </c>
      <c r="M33" s="23"/>
      <c r="N33" s="23"/>
      <c r="O33" s="23"/>
      <c r="P33" s="23"/>
      <c r="Q33" s="23"/>
    </row>
    <row r="34" customFormat="1" spans="1:17">
      <c r="A34" s="5" t="s">
        <v>187</v>
      </c>
      <c r="B34" s="5" t="s">
        <v>58</v>
      </c>
      <c r="C34" s="6">
        <v>2</v>
      </c>
      <c r="D34" s="8"/>
      <c r="E34" s="5"/>
      <c r="K34" s="22" t="s">
        <v>104</v>
      </c>
      <c r="L34" s="22" t="s">
        <v>104</v>
      </c>
      <c r="M34" s="23">
        <v>2</v>
      </c>
      <c r="N34" s="23" t="s">
        <v>138</v>
      </c>
      <c r="O34" s="23" t="s">
        <v>139</v>
      </c>
      <c r="P34" s="23" t="s">
        <v>201</v>
      </c>
      <c r="Q34" s="23" t="s">
        <v>202</v>
      </c>
    </row>
    <row r="35" customFormat="1" spans="1:17">
      <c r="A35" s="5" t="s">
        <v>313</v>
      </c>
      <c r="B35" s="5" t="s">
        <v>314</v>
      </c>
      <c r="C35" s="6">
        <v>2</v>
      </c>
      <c r="D35" s="8"/>
      <c r="E35" s="5"/>
      <c r="K35" s="22" t="s">
        <v>105</v>
      </c>
      <c r="L35" s="22" t="s">
        <v>105</v>
      </c>
      <c r="M35" s="23">
        <v>2</v>
      </c>
      <c r="N35" s="23" t="s">
        <v>138</v>
      </c>
      <c r="O35" s="23" t="s">
        <v>139</v>
      </c>
      <c r="P35" s="23" t="s">
        <v>203</v>
      </c>
      <c r="Q35" s="23" t="s">
        <v>204</v>
      </c>
    </row>
    <row r="36" customFormat="1" spans="1:17">
      <c r="A36" s="5" t="s">
        <v>188</v>
      </c>
      <c r="B36" s="5" t="s">
        <v>59</v>
      </c>
      <c r="C36" s="6">
        <v>2</v>
      </c>
      <c r="D36" s="8"/>
      <c r="E36" s="5"/>
      <c r="K36" s="22" t="s">
        <v>315</v>
      </c>
      <c r="L36" s="22" t="s">
        <v>315</v>
      </c>
      <c r="M36" s="23">
        <v>2</v>
      </c>
      <c r="N36" s="23" t="s">
        <v>138</v>
      </c>
      <c r="O36" s="23" t="s">
        <v>139</v>
      </c>
      <c r="P36" s="23"/>
      <c r="Q36" s="23"/>
    </row>
    <row r="37" customFormat="1" spans="1:17">
      <c r="A37" s="5" t="s">
        <v>316</v>
      </c>
      <c r="B37" s="5" t="s">
        <v>317</v>
      </c>
      <c r="C37" s="6">
        <v>2</v>
      </c>
      <c r="D37" s="8"/>
      <c r="E37" s="5"/>
      <c r="K37" s="24" t="s">
        <v>318</v>
      </c>
      <c r="L37" s="22" t="s">
        <v>318</v>
      </c>
      <c r="M37" s="23">
        <v>2</v>
      </c>
      <c r="N37" s="23" t="s">
        <v>138</v>
      </c>
      <c r="O37" s="23" t="s">
        <v>139</v>
      </c>
      <c r="P37" s="23"/>
      <c r="Q37" s="23"/>
    </row>
    <row r="38" customFormat="1" spans="1:17">
      <c r="A38" s="5" t="s">
        <v>319</v>
      </c>
      <c r="B38" s="5" t="s">
        <v>319</v>
      </c>
      <c r="C38" s="6">
        <v>2</v>
      </c>
      <c r="D38" s="8"/>
      <c r="E38" s="5"/>
      <c r="K38" s="14" t="s">
        <v>107</v>
      </c>
      <c r="L38" s="14" t="s">
        <v>107</v>
      </c>
      <c r="M38" s="6"/>
      <c r="N38" s="6"/>
      <c r="O38" s="6"/>
      <c r="P38" s="6"/>
      <c r="Q38" s="6"/>
    </row>
    <row r="39" customFormat="1" spans="1:17">
      <c r="A39" s="5" t="s">
        <v>320</v>
      </c>
      <c r="B39" s="5" t="s">
        <v>320</v>
      </c>
      <c r="C39" s="6">
        <v>2</v>
      </c>
      <c r="D39" s="8"/>
      <c r="E39" s="5"/>
      <c r="K39" s="14" t="s">
        <v>108</v>
      </c>
      <c r="L39" s="14" t="s">
        <v>108</v>
      </c>
      <c r="M39" s="6">
        <v>2</v>
      </c>
      <c r="N39" s="6" t="s">
        <v>138</v>
      </c>
      <c r="O39" s="6" t="s">
        <v>139</v>
      </c>
      <c r="P39" s="6" t="s">
        <v>201</v>
      </c>
      <c r="Q39" s="6" t="s">
        <v>202</v>
      </c>
    </row>
    <row r="40" customFormat="1" spans="1:17">
      <c r="A40" s="5" t="s">
        <v>179</v>
      </c>
      <c r="B40" s="5" t="s">
        <v>54</v>
      </c>
      <c r="C40" s="6">
        <v>0</v>
      </c>
      <c r="D40" s="8"/>
      <c r="E40" s="5"/>
      <c r="K40" s="14" t="s">
        <v>109</v>
      </c>
      <c r="L40" s="14" t="s">
        <v>109</v>
      </c>
      <c r="M40" s="6">
        <v>2</v>
      </c>
      <c r="N40" s="6" t="s">
        <v>138</v>
      </c>
      <c r="O40" s="6" t="s">
        <v>139</v>
      </c>
      <c r="P40" s="6" t="s">
        <v>203</v>
      </c>
      <c r="Q40" s="6" t="s">
        <v>204</v>
      </c>
    </row>
    <row r="41" customFormat="1" spans="1:17">
      <c r="A41" s="5" t="s">
        <v>171</v>
      </c>
      <c r="B41" s="5" t="s">
        <v>50</v>
      </c>
      <c r="C41" s="6">
        <v>0</v>
      </c>
      <c r="D41" s="8"/>
      <c r="E41" s="5"/>
      <c r="K41" s="14" t="s">
        <v>321</v>
      </c>
      <c r="L41" s="14" t="s">
        <v>321</v>
      </c>
      <c r="M41" s="6">
        <v>2</v>
      </c>
      <c r="N41" s="6" t="s">
        <v>138</v>
      </c>
      <c r="O41" s="6" t="s">
        <v>139</v>
      </c>
      <c r="P41" s="6"/>
      <c r="Q41" s="6"/>
    </row>
    <row r="42" customFormat="1" spans="1:17">
      <c r="A42" s="5" t="s">
        <v>181</v>
      </c>
      <c r="B42" s="5" t="s">
        <v>55</v>
      </c>
      <c r="C42" s="6">
        <v>0</v>
      </c>
      <c r="D42" s="8"/>
      <c r="E42" s="5"/>
      <c r="K42" s="5" t="s">
        <v>322</v>
      </c>
      <c r="L42" s="14" t="s">
        <v>322</v>
      </c>
      <c r="M42" s="6">
        <v>2</v>
      </c>
      <c r="N42" s="6" t="s">
        <v>138</v>
      </c>
      <c r="O42" s="6" t="s">
        <v>139</v>
      </c>
      <c r="P42" s="6"/>
      <c r="Q42" s="6"/>
    </row>
    <row r="43" customFormat="1" spans="1:17">
      <c r="A43" s="5" t="s">
        <v>173</v>
      </c>
      <c r="B43" s="5" t="s">
        <v>51</v>
      </c>
      <c r="C43" s="6">
        <v>0</v>
      </c>
      <c r="D43" s="8"/>
      <c r="E43" s="5"/>
      <c r="K43" s="22" t="s">
        <v>111</v>
      </c>
      <c r="L43" s="22" t="s">
        <v>111</v>
      </c>
      <c r="M43" s="23"/>
      <c r="N43" s="23"/>
      <c r="O43" s="23"/>
      <c r="P43" s="23"/>
      <c r="Q43" s="23"/>
    </row>
    <row r="44" customFormat="1" spans="1:17">
      <c r="A44" s="5" t="s">
        <v>189</v>
      </c>
      <c r="B44" s="5" t="s">
        <v>60</v>
      </c>
      <c r="C44" s="6">
        <v>0</v>
      </c>
      <c r="D44" s="8"/>
      <c r="E44" s="5"/>
      <c r="K44" s="22" t="s">
        <v>112</v>
      </c>
      <c r="L44" s="22" t="s">
        <v>112</v>
      </c>
      <c r="M44" s="23">
        <v>2</v>
      </c>
      <c r="N44" s="23" t="s">
        <v>138</v>
      </c>
      <c r="O44" s="23" t="s">
        <v>139</v>
      </c>
      <c r="P44" s="23" t="s">
        <v>201</v>
      </c>
      <c r="Q44" s="23" t="s">
        <v>202</v>
      </c>
    </row>
    <row r="45" customFormat="1" spans="1:17">
      <c r="A45" s="5" t="s">
        <v>323</v>
      </c>
      <c r="B45" s="5" t="s">
        <v>324</v>
      </c>
      <c r="C45" s="6">
        <v>0</v>
      </c>
      <c r="D45" s="8"/>
      <c r="E45" s="5"/>
      <c r="K45" s="22" t="s">
        <v>113</v>
      </c>
      <c r="L45" s="22" t="s">
        <v>113</v>
      </c>
      <c r="M45" s="23">
        <v>2</v>
      </c>
      <c r="N45" s="23" t="s">
        <v>138</v>
      </c>
      <c r="O45" s="23" t="s">
        <v>139</v>
      </c>
      <c r="P45" s="23" t="s">
        <v>203</v>
      </c>
      <c r="Q45" s="23" t="s">
        <v>204</v>
      </c>
    </row>
    <row r="46" customFormat="1" spans="1:17">
      <c r="A46" s="5" t="s">
        <v>325</v>
      </c>
      <c r="B46" s="5" t="s">
        <v>326</v>
      </c>
      <c r="C46" s="6">
        <v>0</v>
      </c>
      <c r="D46" s="8"/>
      <c r="E46" s="5"/>
      <c r="K46" s="22" t="s">
        <v>327</v>
      </c>
      <c r="L46" s="22" t="s">
        <v>327</v>
      </c>
      <c r="M46" s="23">
        <v>2</v>
      </c>
      <c r="N46" s="23" t="s">
        <v>138</v>
      </c>
      <c r="O46" s="23" t="s">
        <v>139</v>
      </c>
      <c r="P46" s="23"/>
      <c r="Q46" s="23"/>
    </row>
    <row r="47" customFormat="1" spans="1:17">
      <c r="A47" s="5" t="s">
        <v>190</v>
      </c>
      <c r="B47" s="5" t="s">
        <v>61</v>
      </c>
      <c r="C47" s="6">
        <v>2</v>
      </c>
      <c r="D47" s="8"/>
      <c r="E47" s="5"/>
      <c r="K47" s="24" t="s">
        <v>328</v>
      </c>
      <c r="L47" s="22" t="s">
        <v>328</v>
      </c>
      <c r="M47" s="23">
        <v>2</v>
      </c>
      <c r="N47" s="23" t="s">
        <v>138</v>
      </c>
      <c r="O47" s="23" t="s">
        <v>139</v>
      </c>
      <c r="P47" s="23"/>
      <c r="Q47" s="23"/>
    </row>
    <row r="48" customFormat="1" spans="1:17">
      <c r="A48" s="5" t="s">
        <v>191</v>
      </c>
      <c r="B48" s="5" t="s">
        <v>62</v>
      </c>
      <c r="C48" s="6">
        <v>2</v>
      </c>
      <c r="D48" s="8"/>
      <c r="E48" s="5"/>
      <c r="K48" s="14" t="s">
        <v>115</v>
      </c>
      <c r="L48" s="14" t="s">
        <v>115</v>
      </c>
      <c r="M48" s="6"/>
      <c r="N48" s="6"/>
      <c r="O48" s="6"/>
      <c r="P48" s="6"/>
      <c r="Q48" s="6"/>
    </row>
    <row r="49" customFormat="1" spans="1:17">
      <c r="A49" s="5" t="s">
        <v>192</v>
      </c>
      <c r="B49" s="5" t="s">
        <v>63</v>
      </c>
      <c r="C49" s="6">
        <v>2</v>
      </c>
      <c r="D49" s="8"/>
      <c r="E49" s="5"/>
      <c r="K49" s="14" t="s">
        <v>116</v>
      </c>
      <c r="L49" s="14" t="s">
        <v>116</v>
      </c>
      <c r="M49" s="6">
        <v>2</v>
      </c>
      <c r="N49" s="6" t="s">
        <v>138</v>
      </c>
      <c r="O49" s="6" t="s">
        <v>139</v>
      </c>
      <c r="P49" s="6" t="s">
        <v>201</v>
      </c>
      <c r="Q49" s="6" t="s">
        <v>202</v>
      </c>
    </row>
    <row r="50" customFormat="1" spans="1:17">
      <c r="A50" s="5" t="s">
        <v>329</v>
      </c>
      <c r="B50" s="5" t="s">
        <v>330</v>
      </c>
      <c r="C50" s="6">
        <v>0</v>
      </c>
      <c r="D50" s="8"/>
      <c r="E50" s="5"/>
      <c r="K50" s="14" t="s">
        <v>117</v>
      </c>
      <c r="L50" s="14" t="s">
        <v>117</v>
      </c>
      <c r="M50" s="6">
        <v>2</v>
      </c>
      <c r="N50" s="6" t="s">
        <v>138</v>
      </c>
      <c r="O50" s="6" t="s">
        <v>139</v>
      </c>
      <c r="P50" s="6" t="s">
        <v>203</v>
      </c>
      <c r="Q50" s="6" t="s">
        <v>204</v>
      </c>
    </row>
    <row r="51" customFormat="1" spans="1:17">
      <c r="A51" s="5" t="s">
        <v>331</v>
      </c>
      <c r="B51" s="5" t="s">
        <v>332</v>
      </c>
      <c r="C51" s="6">
        <v>0</v>
      </c>
      <c r="D51" s="8"/>
      <c r="E51" s="5"/>
      <c r="K51" s="14" t="s">
        <v>333</v>
      </c>
      <c r="L51" s="14" t="s">
        <v>333</v>
      </c>
      <c r="M51" s="6">
        <v>2</v>
      </c>
      <c r="N51" s="6" t="s">
        <v>138</v>
      </c>
      <c r="O51" s="6" t="s">
        <v>139</v>
      </c>
      <c r="P51" s="6"/>
      <c r="Q51" s="6"/>
    </row>
    <row r="52" customFormat="1" spans="1:17">
      <c r="A52" s="5" t="s">
        <v>200</v>
      </c>
      <c r="B52" s="5" t="s">
        <v>71</v>
      </c>
      <c r="C52" s="6">
        <v>0</v>
      </c>
      <c r="D52" s="8"/>
      <c r="E52" s="5"/>
      <c r="K52" s="5" t="s">
        <v>334</v>
      </c>
      <c r="L52" s="14" t="s">
        <v>334</v>
      </c>
      <c r="M52" s="6">
        <v>2</v>
      </c>
      <c r="N52" s="6" t="s">
        <v>138</v>
      </c>
      <c r="O52" s="6" t="s">
        <v>139</v>
      </c>
      <c r="P52" s="6"/>
      <c r="Q52" s="6"/>
    </row>
    <row r="53" customFormat="1" spans="1:17">
      <c r="A53" s="5" t="s">
        <v>196</v>
      </c>
      <c r="B53" s="5" t="s">
        <v>67</v>
      </c>
      <c r="C53" s="6">
        <v>0</v>
      </c>
      <c r="D53" s="8"/>
      <c r="E53" s="5"/>
      <c r="K53" s="22" t="s">
        <v>119</v>
      </c>
      <c r="L53" s="22" t="s">
        <v>119</v>
      </c>
      <c r="M53" s="23"/>
      <c r="N53" s="23"/>
      <c r="O53" s="23"/>
      <c r="P53" s="23"/>
      <c r="Q53" s="23"/>
    </row>
    <row r="54" customFormat="1" spans="1:17">
      <c r="A54" s="5" t="s">
        <v>335</v>
      </c>
      <c r="B54" s="5" t="s">
        <v>336</v>
      </c>
      <c r="C54" s="6">
        <v>0</v>
      </c>
      <c r="D54" s="8"/>
      <c r="E54" s="5"/>
      <c r="K54" s="22" t="s">
        <v>120</v>
      </c>
      <c r="L54" s="22" t="s">
        <v>120</v>
      </c>
      <c r="M54" s="23">
        <v>2</v>
      </c>
      <c r="N54" s="23" t="s">
        <v>138</v>
      </c>
      <c r="O54" s="23" t="s">
        <v>139</v>
      </c>
      <c r="P54" s="23" t="s">
        <v>201</v>
      </c>
      <c r="Q54" s="23" t="s">
        <v>202</v>
      </c>
    </row>
    <row r="55" customFormat="1" spans="1:17">
      <c r="A55" s="5" t="s">
        <v>337</v>
      </c>
      <c r="B55" s="5" t="s">
        <v>338</v>
      </c>
      <c r="C55" s="6">
        <v>0</v>
      </c>
      <c r="D55" s="8"/>
      <c r="E55" s="5"/>
      <c r="K55" s="22" t="s">
        <v>121</v>
      </c>
      <c r="L55" s="22" t="s">
        <v>121</v>
      </c>
      <c r="M55" s="23">
        <v>2</v>
      </c>
      <c r="N55" s="23" t="s">
        <v>138</v>
      </c>
      <c r="O55" s="23" t="s">
        <v>139</v>
      </c>
      <c r="P55" s="23" t="s">
        <v>203</v>
      </c>
      <c r="Q55" s="23" t="s">
        <v>204</v>
      </c>
    </row>
    <row r="56" customFormat="1" spans="1:17">
      <c r="A56" s="5" t="s">
        <v>339</v>
      </c>
      <c r="B56" s="5" t="s">
        <v>340</v>
      </c>
      <c r="C56" s="6">
        <v>0</v>
      </c>
      <c r="D56" s="8"/>
      <c r="E56" s="5"/>
      <c r="K56" s="22" t="s">
        <v>341</v>
      </c>
      <c r="L56" s="22" t="s">
        <v>341</v>
      </c>
      <c r="M56" s="23">
        <v>2</v>
      </c>
      <c r="N56" s="23" t="s">
        <v>138</v>
      </c>
      <c r="O56" s="23" t="s">
        <v>139</v>
      </c>
      <c r="P56" s="23"/>
      <c r="Q56" s="23"/>
    </row>
    <row r="57" customFormat="1" spans="1:17">
      <c r="A57" s="5" t="s">
        <v>342</v>
      </c>
      <c r="B57" s="5" t="s">
        <v>343</v>
      </c>
      <c r="C57" s="6">
        <v>0</v>
      </c>
      <c r="D57" s="8"/>
      <c r="E57" s="5"/>
      <c r="K57" s="24" t="s">
        <v>344</v>
      </c>
      <c r="L57" s="22" t="s">
        <v>344</v>
      </c>
      <c r="M57" s="23">
        <v>2</v>
      </c>
      <c r="N57" s="23" t="s">
        <v>138</v>
      </c>
      <c r="O57" s="23" t="s">
        <v>139</v>
      </c>
      <c r="P57" s="23"/>
      <c r="Q57" s="23"/>
    </row>
    <row r="58" customFormat="1" spans="1:17">
      <c r="A58" s="5" t="s">
        <v>345</v>
      </c>
      <c r="B58" s="5" t="s">
        <v>346</v>
      </c>
      <c r="C58" s="6">
        <v>0</v>
      </c>
      <c r="D58" s="8"/>
      <c r="E58" s="5"/>
      <c r="K58" s="14" t="s">
        <v>123</v>
      </c>
      <c r="L58" s="14" t="s">
        <v>123</v>
      </c>
      <c r="M58" s="6"/>
      <c r="N58" s="6"/>
      <c r="O58" s="6"/>
      <c r="P58" s="6"/>
      <c r="Q58" s="6"/>
    </row>
    <row r="59" customFormat="1" spans="1:17">
      <c r="A59" s="5" t="s">
        <v>347</v>
      </c>
      <c r="B59" s="5" t="s">
        <v>348</v>
      </c>
      <c r="C59" s="6">
        <v>0</v>
      </c>
      <c r="D59" s="8"/>
      <c r="E59" s="5"/>
      <c r="K59" s="14" t="s">
        <v>124</v>
      </c>
      <c r="L59" s="14" t="s">
        <v>124</v>
      </c>
      <c r="M59" s="6">
        <v>2</v>
      </c>
      <c r="N59" s="6" t="s">
        <v>138</v>
      </c>
      <c r="O59" s="6" t="s">
        <v>139</v>
      </c>
      <c r="P59" s="6" t="s">
        <v>201</v>
      </c>
      <c r="Q59" s="6" t="s">
        <v>202</v>
      </c>
    </row>
    <row r="60" customFormat="1" spans="1:17">
      <c r="A60" s="5" t="s">
        <v>199</v>
      </c>
      <c r="B60" s="5" t="s">
        <v>70</v>
      </c>
      <c r="C60" s="6">
        <v>0</v>
      </c>
      <c r="D60" s="8"/>
      <c r="E60" s="5"/>
      <c r="K60" s="14" t="s">
        <v>125</v>
      </c>
      <c r="L60" s="14" t="s">
        <v>125</v>
      </c>
      <c r="M60" s="6">
        <v>2</v>
      </c>
      <c r="N60" s="6" t="s">
        <v>138</v>
      </c>
      <c r="O60" s="6" t="s">
        <v>139</v>
      </c>
      <c r="P60" s="6" t="s">
        <v>203</v>
      </c>
      <c r="Q60" s="6" t="s">
        <v>204</v>
      </c>
    </row>
    <row r="61" customFormat="1" spans="1:17">
      <c r="A61" s="5" t="s">
        <v>195</v>
      </c>
      <c r="B61" s="5" t="s">
        <v>66</v>
      </c>
      <c r="C61" s="6">
        <v>0</v>
      </c>
      <c r="D61" s="8"/>
      <c r="E61" s="5"/>
      <c r="K61" s="14" t="s">
        <v>349</v>
      </c>
      <c r="L61" s="14" t="s">
        <v>349</v>
      </c>
      <c r="M61" s="6">
        <v>2</v>
      </c>
      <c r="N61" s="6" t="s">
        <v>138</v>
      </c>
      <c r="O61" s="6" t="s">
        <v>139</v>
      </c>
      <c r="P61" s="6"/>
      <c r="Q61" s="6"/>
    </row>
    <row r="62" customFormat="1" spans="1:17">
      <c r="A62" s="5" t="s">
        <v>350</v>
      </c>
      <c r="B62" s="5" t="s">
        <v>351</v>
      </c>
      <c r="C62" s="6">
        <v>0</v>
      </c>
      <c r="D62" s="8"/>
      <c r="E62" s="5"/>
      <c r="K62" s="5" t="s">
        <v>352</v>
      </c>
      <c r="L62" s="14" t="s">
        <v>352</v>
      </c>
      <c r="M62" s="6">
        <v>2</v>
      </c>
      <c r="N62" s="6" t="s">
        <v>138</v>
      </c>
      <c r="O62" s="6" t="s">
        <v>139</v>
      </c>
      <c r="P62" s="6"/>
      <c r="Q62" s="6"/>
    </row>
    <row r="63" customFormat="1" spans="1:5">
      <c r="A63" s="5" t="s">
        <v>353</v>
      </c>
      <c r="B63" s="5" t="s">
        <v>354</v>
      </c>
      <c r="C63" s="6">
        <v>0</v>
      </c>
      <c r="D63" s="8"/>
      <c r="E63" s="5"/>
    </row>
    <row r="64" customFormat="1" spans="1:5">
      <c r="A64" s="5" t="s">
        <v>355</v>
      </c>
      <c r="B64" s="5" t="s">
        <v>356</v>
      </c>
      <c r="C64" s="6">
        <v>0</v>
      </c>
      <c r="D64" s="8"/>
      <c r="E64" s="5"/>
    </row>
    <row r="65" customFormat="1" spans="1:5">
      <c r="A65" s="5" t="s">
        <v>357</v>
      </c>
      <c r="B65" s="5" t="s">
        <v>358</v>
      </c>
      <c r="C65" s="6">
        <v>0</v>
      </c>
      <c r="D65" s="8"/>
      <c r="E65" s="5"/>
    </row>
    <row r="66" customFormat="1" spans="1:5">
      <c r="A66" s="5" t="s">
        <v>194</v>
      </c>
      <c r="B66" s="5" t="s">
        <v>65</v>
      </c>
      <c r="C66" s="6">
        <v>0</v>
      </c>
      <c r="D66" s="8"/>
      <c r="E66" s="5"/>
    </row>
    <row r="67" customFormat="1" spans="1:5">
      <c r="A67" s="5" t="s">
        <v>197</v>
      </c>
      <c r="B67" s="5" t="s">
        <v>68</v>
      </c>
      <c r="C67" s="6">
        <v>0</v>
      </c>
      <c r="D67" s="8"/>
      <c r="E67" s="5"/>
    </row>
    <row r="68" customFormat="1" spans="1:5">
      <c r="A68" s="5" t="s">
        <v>193</v>
      </c>
      <c r="B68" s="5" t="s">
        <v>64</v>
      </c>
      <c r="C68" s="6">
        <v>0</v>
      </c>
      <c r="D68" s="8"/>
      <c r="E68" s="5"/>
    </row>
    <row r="69" customFormat="1" spans="1:5">
      <c r="A69" s="5" t="s">
        <v>198</v>
      </c>
      <c r="B69" s="5" t="s">
        <v>69</v>
      </c>
      <c r="C69" s="6">
        <v>0</v>
      </c>
      <c r="D69" s="8"/>
      <c r="E69" s="5"/>
    </row>
    <row r="70" customFormat="1" spans="1:5">
      <c r="A70" s="5" t="s">
        <v>152</v>
      </c>
      <c r="B70" s="5" t="s">
        <v>42</v>
      </c>
      <c r="C70" s="6" t="s">
        <v>149</v>
      </c>
      <c r="D70" s="8"/>
      <c r="E70" s="5"/>
    </row>
    <row r="71" customFormat="1" spans="1:5">
      <c r="A71" s="5" t="s">
        <v>359</v>
      </c>
      <c r="B71" s="5" t="s">
        <v>360</v>
      </c>
      <c r="C71" s="6" t="s">
        <v>149</v>
      </c>
      <c r="D71" s="8"/>
      <c r="E71" s="5"/>
    </row>
    <row r="72" customFormat="1" spans="1:5">
      <c r="A72" s="5" t="s">
        <v>361</v>
      </c>
      <c r="B72" s="5" t="s">
        <v>362</v>
      </c>
      <c r="C72" s="6" t="s">
        <v>149</v>
      </c>
      <c r="D72" s="8"/>
      <c r="E72" s="5"/>
    </row>
    <row r="73" customFormat="1" spans="1:5">
      <c r="A73" s="5" t="s">
        <v>363</v>
      </c>
      <c r="B73" s="5" t="s">
        <v>364</v>
      </c>
      <c r="C73" s="6" t="s">
        <v>149</v>
      </c>
      <c r="D73" s="8"/>
      <c r="E73" s="5"/>
    </row>
    <row r="74" customFormat="1" spans="1:5">
      <c r="A74" s="5" t="s">
        <v>365</v>
      </c>
      <c r="B74" s="5" t="s">
        <v>366</v>
      </c>
      <c r="C74" s="6" t="s">
        <v>149</v>
      </c>
      <c r="D74" s="8"/>
      <c r="E74" s="5"/>
    </row>
    <row r="75" customFormat="1" spans="1:5">
      <c r="A75" s="5" t="s">
        <v>367</v>
      </c>
      <c r="B75" s="5" t="s">
        <v>368</v>
      </c>
      <c r="C75" s="6" t="s">
        <v>149</v>
      </c>
      <c r="D75" s="8"/>
      <c r="E75" s="5"/>
    </row>
    <row r="76" spans="1:5">
      <c r="A76" s="5" t="s">
        <v>369</v>
      </c>
      <c r="B76" s="5" t="s">
        <v>370</v>
      </c>
      <c r="C76" s="6">
        <v>1</v>
      </c>
      <c r="D76" s="8"/>
      <c r="E76" s="5"/>
    </row>
    <row r="77" spans="1:5">
      <c r="A77" s="5" t="s">
        <v>371</v>
      </c>
      <c r="B77" s="5" t="s">
        <v>372</v>
      </c>
      <c r="C77" s="6">
        <v>2</v>
      </c>
      <c r="D77" s="8"/>
      <c r="E77" s="5"/>
    </row>
    <row r="78" spans="1:5">
      <c r="A78" s="5" t="s">
        <v>373</v>
      </c>
      <c r="B78" s="5" t="s">
        <v>374</v>
      </c>
      <c r="C78" s="6">
        <v>2</v>
      </c>
      <c r="D78" s="8"/>
      <c r="E78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rpt</vt:lpstr>
      <vt:lpstr>rpt_g</vt:lpstr>
      <vt:lpstr>cfg</vt:lpstr>
      <vt:lpstr>cfg_g</vt:lpstr>
      <vt:lpstr>rsi</vt:lpstr>
      <vt:lpstr>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user_05da5UNjw</cp:lastModifiedBy>
  <dcterms:created xsi:type="dcterms:W3CDTF">2024-01-03T08:54:00Z</dcterms:created>
  <dcterms:modified xsi:type="dcterms:W3CDTF">2024-10-03T14:30:05Z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1714FAC98B5F42DF808B1D87312893FE</vt:lpwstr>
  </property>
  <property fmtid="{D5CDD505-2E9C-101B-9397-08002B2CF9AE}" pid="3" name="KSOProductBuildVer">
    <vt:lpwstr>2052-11.8.2.12094</vt:lpwstr>
  </property>
</Properties>
</file>