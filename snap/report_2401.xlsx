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字典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3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</patternFill>
    </fill>
    <fill>
      <patternFill patternType="solid">
        <fgColor rgb="00ff0000"/>
      </patternFill>
    </fill>
    <fill>
      <patternFill patternType="solid">
        <fgColor rgb="000000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5" fillId="9" borderId="0" applyAlignment="1">
      <alignment vertical="center"/>
    </xf>
    <xf numFmtId="0" fontId="6" fillId="10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5" fillId="11" borderId="0" applyAlignment="1">
      <alignment vertical="center"/>
    </xf>
    <xf numFmtId="0" fontId="7" fillId="12" borderId="0" applyAlignment="1">
      <alignment vertical="center"/>
    </xf>
    <xf numFmtId="43" fontId="0" fillId="0" borderId="0" applyAlignment="1">
      <alignment vertical="center"/>
    </xf>
    <xf numFmtId="0" fontId="8" fillId="13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10" fillId="0" borderId="0" applyAlignment="1">
      <alignment vertical="center"/>
    </xf>
    <xf numFmtId="0" fontId="0" fillId="14" borderId="4" applyAlignment="1">
      <alignment vertical="center"/>
    </xf>
    <xf numFmtId="0" fontId="8" fillId="15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8" fillId="16" borderId="0" applyAlignment="1">
      <alignment vertical="center"/>
    </xf>
    <xf numFmtId="0" fontId="11" fillId="0" borderId="6" applyAlignment="1">
      <alignment vertical="center"/>
    </xf>
    <xf numFmtId="0" fontId="8" fillId="17" borderId="0" applyAlignment="1">
      <alignment vertical="center"/>
    </xf>
    <xf numFmtId="0" fontId="17" fillId="18" borderId="7" applyAlignment="1">
      <alignment vertical="center"/>
    </xf>
    <xf numFmtId="0" fontId="18" fillId="18" borderId="3" applyAlignment="1">
      <alignment vertical="center"/>
    </xf>
    <xf numFmtId="0" fontId="19" fillId="19" borderId="8" applyAlignment="1">
      <alignment vertical="center"/>
    </xf>
    <xf numFmtId="0" fontId="5" fillId="20" borderId="0" applyAlignment="1">
      <alignment vertical="center"/>
    </xf>
    <xf numFmtId="0" fontId="8" fillId="21" borderId="0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5" fillId="24" borderId="0" applyAlignment="1">
      <alignment vertical="center"/>
    </xf>
    <xf numFmtId="0" fontId="8" fillId="25" borderId="0" applyAlignment="1">
      <alignment vertical="center"/>
    </xf>
    <xf numFmtId="0" fontId="5" fillId="26" borderId="0" applyAlignment="1">
      <alignment vertical="center"/>
    </xf>
    <xf numFmtId="0" fontId="5" fillId="27" borderId="0" applyAlignment="1">
      <alignment vertical="center"/>
    </xf>
    <xf numFmtId="0" fontId="5" fillId="28" borderId="0" applyAlignment="1">
      <alignment vertical="center"/>
    </xf>
    <xf numFmtId="0" fontId="5" fillId="29" borderId="0" applyAlignment="1">
      <alignment vertical="center"/>
    </xf>
    <xf numFmtId="0" fontId="8" fillId="30" borderId="0" applyAlignment="1">
      <alignment vertical="center"/>
    </xf>
    <xf numFmtId="0" fontId="8" fillId="31" borderId="0" applyAlignment="1">
      <alignment vertical="center"/>
    </xf>
    <xf numFmtId="0" fontId="5" fillId="32" borderId="0" applyAlignment="1">
      <alignment vertical="center"/>
    </xf>
    <xf numFmtId="0" fontId="5" fillId="33" borderId="0" applyAlignment="1">
      <alignment vertical="center"/>
    </xf>
    <xf numFmtId="0" fontId="8" fillId="34" borderId="0" applyAlignment="1">
      <alignment vertical="center"/>
    </xf>
    <xf numFmtId="0" fontId="5" fillId="35" borderId="0" applyAlignment="1">
      <alignment vertical="center"/>
    </xf>
    <xf numFmtId="0" fontId="8" fillId="36" borderId="0" applyAlignment="1">
      <alignment vertical="center"/>
    </xf>
    <xf numFmtId="0" fontId="8" fillId="37" borderId="0" applyAlignment="1">
      <alignment vertical="center"/>
    </xf>
    <xf numFmtId="0" fontId="5" fillId="38" borderId="0" applyAlignment="1">
      <alignment vertical="center"/>
    </xf>
    <xf numFmtId="0" fontId="8" fillId="39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0" fontId="4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10" fontId="0" fillId="0" borderId="2" applyAlignment="1" pivotButton="0" quotePrefix="0" xfId="0">
      <alignment horizontal="center"/>
    </xf>
    <xf numFmtId="10" fontId="0" fillId="0" borderId="2" applyAlignment="1" pivotButton="0" quotePrefix="0" xfId="0">
      <alignment horizontal="center" vertical="center"/>
    </xf>
    <xf numFmtId="0" fontId="24" fillId="0" borderId="11" pivotButton="0" quotePrefix="0" xfId="0"/>
    <xf numFmtId="0" fontId="24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0" borderId="11" applyAlignment="1" pivotButton="0" quotePrefix="0" xfId="0">
      <alignment horizontal="center"/>
    </xf>
    <xf numFmtId="0" fontId="0" fillId="41" borderId="11" applyAlignment="1" pivotButton="0" quotePrefix="0" xfId="0">
      <alignment horizontal="center"/>
    </xf>
    <xf numFmtId="0" fontId="0" fillId="42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 vertical="center"/>
    </xf>
    <xf numFmtId="0" fontId="24" fillId="41" borderId="11" pivotButton="0" quotePrefix="0" xfId="0"/>
    <xf numFmtId="0" fontId="24" fillId="40" borderId="11" pivotButton="0" quotePrefix="0" xfId="0"/>
    <xf numFmtId="0" fontId="24" fillId="0" borderId="0" pivotButton="0" quotePrefix="0" xfId="0"/>
    <xf numFmtId="0" fontId="0" fillId="40" borderId="11" pivotButton="0" quotePrefix="0" xfId="0"/>
    <xf numFmtId="0" fontId="0" fillId="41" borderId="11" pivotButton="0" quotePrefix="0" xfId="0"/>
    <xf numFmtId="0" fontId="0" fillId="42" borderId="11" pivotButton="0" quotePrefix="0" xfId="0"/>
    <xf numFmtId="0" fontId="0" fillId="0" borderId="11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tabSelected="1" zoomScale="85" zoomScaleNormal="85" workbookViewId="0">
      <selection activeCell="B1" sqref="B1:AE1"/>
    </sheetView>
  </sheetViews>
  <sheetFormatPr baseColWidth="8" defaultColWidth="9" defaultRowHeight="14.4"/>
  <cols>
    <col width="20.7777777777778" customWidth="1" style="3" min="1" max="1"/>
    <col width="7.57407407407407" customWidth="1" style="28" min="2" max="31"/>
  </cols>
  <sheetData>
    <row r="1">
      <c r="A1" s="35" t="inlineStr">
        <is>
          <t>日期</t>
        </is>
      </c>
      <c r="B1" s="36" t="inlineStr">
        <is>
          <t>240131</t>
        </is>
      </c>
      <c r="C1" s="36" t="inlineStr">
        <is>
          <t>240130</t>
        </is>
      </c>
      <c r="D1" s="36" t="inlineStr">
        <is>
          <t>240129</t>
        </is>
      </c>
      <c r="E1" s="36" t="inlineStr">
        <is>
          <t>240126</t>
        </is>
      </c>
      <c r="F1" s="36" t="inlineStr">
        <is>
          <t>240125</t>
        </is>
      </c>
      <c r="G1" s="36" t="inlineStr">
        <is>
          <t>240124</t>
        </is>
      </c>
      <c r="H1" s="36" t="inlineStr">
        <is>
          <t>240123</t>
        </is>
      </c>
      <c r="I1" s="36" t="inlineStr">
        <is>
          <t>240122</t>
        </is>
      </c>
      <c r="J1" s="36" t="inlineStr">
        <is>
          <t>240119</t>
        </is>
      </c>
      <c r="K1" s="36" t="inlineStr">
        <is>
          <t>240118</t>
        </is>
      </c>
      <c r="L1" s="36" t="inlineStr">
        <is>
          <t>240117</t>
        </is>
      </c>
      <c r="M1" s="36" t="inlineStr">
        <is>
          <t>240116</t>
        </is>
      </c>
      <c r="N1" s="36" t="inlineStr">
        <is>
          <t>240115</t>
        </is>
      </c>
      <c r="O1" s="36" t="inlineStr">
        <is>
          <t>240112</t>
        </is>
      </c>
      <c r="P1" s="36" t="inlineStr">
        <is>
          <t>240111</t>
        </is>
      </c>
      <c r="Q1" s="36" t="inlineStr">
        <is>
          <t>240110</t>
        </is>
      </c>
      <c r="R1" s="36" t="inlineStr">
        <is>
          <t>240109</t>
        </is>
      </c>
      <c r="S1" s="36" t="inlineStr">
        <is>
          <t>240108</t>
        </is>
      </c>
      <c r="T1" s="36" t="inlineStr">
        <is>
          <t>240105</t>
        </is>
      </c>
      <c r="U1" s="36" t="inlineStr">
        <is>
          <t>240104</t>
        </is>
      </c>
      <c r="V1" s="36" t="inlineStr">
        <is>
          <t>240103</t>
        </is>
      </c>
      <c r="W1" s="36" t="inlineStr">
        <is>
          <t>240102</t>
        </is>
      </c>
      <c r="X1" s="36" t="inlineStr">
        <is>
          <t>231229</t>
        </is>
      </c>
      <c r="Y1" s="36" t="inlineStr">
        <is>
          <t>231228</t>
        </is>
      </c>
      <c r="Z1" s="36" t="inlineStr">
        <is>
          <t>231227</t>
        </is>
      </c>
      <c r="AA1" s="36" t="inlineStr">
        <is>
          <t>231226</t>
        </is>
      </c>
      <c r="AB1" s="36" t="inlineStr">
        <is>
          <t>231225</t>
        </is>
      </c>
      <c r="AC1" s="36" t="inlineStr">
        <is>
          <t>231222</t>
        </is>
      </c>
      <c r="AD1" s="36" t="inlineStr">
        <is>
          <t>231221</t>
        </is>
      </c>
      <c r="AE1" s="36" t="inlineStr">
        <is>
          <t>231220</t>
        </is>
      </c>
    </row>
    <row r="2">
      <c r="A2" s="35" t="inlineStr">
        <is>
          <t>收盘</t>
        </is>
      </c>
      <c r="B2" s="37" t="n">
        <v>2788.55</v>
      </c>
      <c r="C2" s="37" t="n">
        <v>2830.53</v>
      </c>
      <c r="D2" s="37" t="n">
        <v>2883.36</v>
      </c>
      <c r="E2" s="37" t="n">
        <v>2910.22</v>
      </c>
      <c r="F2" s="37" t="n">
        <v>2906.11</v>
      </c>
      <c r="G2" s="37" t="n">
        <v>2820.77</v>
      </c>
      <c r="H2" s="37" t="n">
        <v>2770.98</v>
      </c>
      <c r="I2" s="37" t="n">
        <v>2756.34</v>
      </c>
      <c r="J2" s="37" t="n">
        <v>2832.28</v>
      </c>
      <c r="K2" s="37" t="n">
        <v>2845.78</v>
      </c>
      <c r="L2" s="37" t="n">
        <v>2833.62</v>
      </c>
      <c r="M2" s="37" t="n">
        <v>2893.99</v>
      </c>
      <c r="N2" s="37" t="n">
        <v>2886.29</v>
      </c>
      <c r="O2" s="37" t="n">
        <v>2881.98</v>
      </c>
      <c r="P2" s="37" t="n">
        <v>2886.65</v>
      </c>
      <c r="Q2" s="37" t="n">
        <v>2877.7</v>
      </c>
      <c r="R2" s="37" t="n">
        <v>2893.25</v>
      </c>
      <c r="S2" s="37" t="n">
        <v>2887.54</v>
      </c>
      <c r="T2" s="37" t="n">
        <v>2929.18</v>
      </c>
      <c r="U2" s="37" t="n">
        <v>2954.35</v>
      </c>
      <c r="V2" s="37" t="n">
        <v>2967.25</v>
      </c>
      <c r="W2" s="37" t="n">
        <v>2962.28</v>
      </c>
      <c r="X2" s="37" t="n">
        <v>2974.93</v>
      </c>
      <c r="Y2" s="37" t="n">
        <v>2954.7</v>
      </c>
      <c r="Z2" s="37" t="n">
        <v>2914.61</v>
      </c>
      <c r="AA2" s="37" t="n">
        <v>2898.88</v>
      </c>
      <c r="AB2" s="37" t="n">
        <v>2918.81</v>
      </c>
      <c r="AC2" s="37" t="n">
        <v>2914.78</v>
      </c>
      <c r="AD2" s="37" t="n">
        <v>2918.71</v>
      </c>
      <c r="AE2" s="37" t="n">
        <v>2902.11</v>
      </c>
    </row>
    <row r="3">
      <c r="A3" s="35" t="inlineStr">
        <is>
          <t>埃尔德</t>
        </is>
      </c>
      <c r="B3" s="38" t="inlineStr">
        <is>
          <t>green</t>
        </is>
      </c>
      <c r="C3" s="38" t="inlineStr">
        <is>
          <t>green</t>
        </is>
      </c>
      <c r="D3" s="39" t="inlineStr">
        <is>
          <t>red</t>
        </is>
      </c>
      <c r="E3" s="39" t="inlineStr">
        <is>
          <t>red</t>
        </is>
      </c>
      <c r="F3" s="39" t="inlineStr">
        <is>
          <t>red</t>
        </is>
      </c>
      <c r="G3" s="40" t="inlineStr">
        <is>
          <t>blue</t>
        </is>
      </c>
      <c r="H3" s="38" t="inlineStr">
        <is>
          <t>green</t>
        </is>
      </c>
      <c r="I3" s="38" t="inlineStr">
        <is>
          <t>green</t>
        </is>
      </c>
      <c r="J3" s="38" t="inlineStr">
        <is>
          <t>green</t>
        </is>
      </c>
      <c r="K3" s="38" t="inlineStr">
        <is>
          <t>green</t>
        </is>
      </c>
      <c r="L3" s="38" t="inlineStr">
        <is>
          <t>green</t>
        </is>
      </c>
      <c r="M3" s="40" t="inlineStr">
        <is>
          <t>blue</t>
        </is>
      </c>
      <c r="N3" s="40" t="inlineStr">
        <is>
          <t>blue</t>
        </is>
      </c>
      <c r="O3" s="38" t="inlineStr">
        <is>
          <t>green</t>
        </is>
      </c>
      <c r="P3" s="38" t="inlineStr">
        <is>
          <t>green</t>
        </is>
      </c>
      <c r="Q3" s="38" t="inlineStr">
        <is>
          <t>green</t>
        </is>
      </c>
      <c r="R3" s="38" t="inlineStr">
        <is>
          <t>green</t>
        </is>
      </c>
      <c r="S3" s="38" t="inlineStr">
        <is>
          <t>green</t>
        </is>
      </c>
      <c r="T3" s="38" t="inlineStr">
        <is>
          <t>green</t>
        </is>
      </c>
      <c r="U3" s="40" t="inlineStr">
        <is>
          <t>blue</t>
        </is>
      </c>
      <c r="V3" s="39" t="inlineStr">
        <is>
          <t>red</t>
        </is>
      </c>
      <c r="W3" s="39" t="inlineStr">
        <is>
          <t>red</t>
        </is>
      </c>
      <c r="X3" s="39" t="inlineStr">
        <is>
          <t>red</t>
        </is>
      </c>
      <c r="Y3" s="39" t="inlineStr">
        <is>
          <t>red</t>
        </is>
      </c>
      <c r="Z3" s="40" t="inlineStr">
        <is>
          <t>blue</t>
        </is>
      </c>
      <c r="AA3" s="40" t="inlineStr">
        <is>
          <t>blue</t>
        </is>
      </c>
      <c r="AB3" s="40" t="inlineStr">
        <is>
          <t>blue</t>
        </is>
      </c>
      <c r="AC3" s="40" t="inlineStr">
        <is>
          <t>blue</t>
        </is>
      </c>
      <c r="AD3" s="40" t="inlineStr">
        <is>
          <t>blue</t>
        </is>
      </c>
      <c r="AE3" s="38" t="inlineStr">
        <is>
          <t>green</t>
        </is>
      </c>
    </row>
    <row r="4">
      <c r="A4" s="35" t="inlineStr">
        <is>
          <t>涨跌幅</t>
        </is>
      </c>
      <c r="B4" s="37" t="n">
        <v>-1.48</v>
      </c>
      <c r="C4" s="37" t="n">
        <v>-1.83</v>
      </c>
      <c r="D4" s="37" t="n">
        <v>-0.92</v>
      </c>
      <c r="E4" s="37" t="n">
        <v>0.14</v>
      </c>
      <c r="F4" s="37" t="n">
        <v>3.03</v>
      </c>
      <c r="G4" s="37" t="n">
        <v>1.8</v>
      </c>
      <c r="H4" s="37" t="n">
        <v>0.53</v>
      </c>
      <c r="I4" s="37" t="n">
        <v>-2.68</v>
      </c>
      <c r="J4" s="37" t="n">
        <v>-0.47</v>
      </c>
      <c r="K4" s="37" t="n">
        <v>0.43</v>
      </c>
      <c r="L4" s="37" t="n">
        <v>-2.09</v>
      </c>
      <c r="M4" s="37" t="n">
        <v>0.27</v>
      </c>
      <c r="N4" s="37" t="n">
        <v>0.15</v>
      </c>
      <c r="O4" s="37" t="n">
        <v>-0.16</v>
      </c>
      <c r="P4" s="37" t="n">
        <v>0.31</v>
      </c>
      <c r="Q4" s="37" t="n">
        <v>-0.54</v>
      </c>
      <c r="R4" s="37" t="n">
        <v>0.2</v>
      </c>
      <c r="S4" s="37" t="n">
        <v>-1.42</v>
      </c>
      <c r="T4" s="37" t="n">
        <v>-0.85</v>
      </c>
      <c r="U4" s="37" t="n">
        <v>-0.43</v>
      </c>
      <c r="V4" s="37" t="n">
        <v>0.17</v>
      </c>
      <c r="W4" s="37" t="n">
        <v>-0.43</v>
      </c>
      <c r="X4" s="37" t="n">
        <v>0.68</v>
      </c>
      <c r="Y4" s="37" t="n">
        <v>1.38</v>
      </c>
      <c r="Z4" s="37" t="n">
        <v>0.54</v>
      </c>
      <c r="AA4" s="37" t="n">
        <v>-0.68</v>
      </c>
      <c r="AB4" s="37" t="n">
        <v>0.14</v>
      </c>
      <c r="AC4" s="37" t="n">
        <v>-0.13</v>
      </c>
      <c r="AD4" s="37" t="n">
        <v>0.57</v>
      </c>
      <c r="AE4" s="37" t="n">
        <v>-1.03</v>
      </c>
    </row>
    <row r="5">
      <c r="A5" s="35" t="inlineStr">
        <is>
          <t>60日涨跌幅</t>
        </is>
      </c>
      <c r="B5" s="37" t="n">
        <v>-8.789999999999999</v>
      </c>
      <c r="C5" s="37" t="n">
        <v>-7.45</v>
      </c>
      <c r="D5" s="37" t="n">
        <v>-4.86</v>
      </c>
      <c r="E5" s="37" t="n">
        <v>-3.3</v>
      </c>
      <c r="F5" s="37" t="n">
        <v>-3.87</v>
      </c>
      <c r="G5" s="37" t="n">
        <v>-6.56</v>
      </c>
      <c r="H5" s="37" t="n">
        <v>-8.289999999999999</v>
      </c>
      <c r="I5" s="37" t="n">
        <v>-8.66</v>
      </c>
      <c r="J5" s="37" t="n">
        <v>-5.22</v>
      </c>
      <c r="K5" s="37" t="n">
        <v>-4.31</v>
      </c>
      <c r="L5" s="37" t="n">
        <v>-4.34</v>
      </c>
      <c r="M5" s="37" t="n">
        <v>-1.54</v>
      </c>
      <c r="N5" s="37" t="n">
        <v>-3.24</v>
      </c>
      <c r="O5" s="37" t="n">
        <v>-4.11</v>
      </c>
      <c r="P5" s="37" t="n">
        <v>-5.63</v>
      </c>
      <c r="Q5" s="37" t="n">
        <v>-6.67</v>
      </c>
      <c r="R5" s="37" t="n">
        <v>-5.87</v>
      </c>
      <c r="S5" s="37" t="n">
        <v>-6.49</v>
      </c>
      <c r="T5" s="37" t="n">
        <v>-5.75</v>
      </c>
      <c r="U5" s="37" t="n">
        <v>-4.05</v>
      </c>
      <c r="V5" s="37" t="n">
        <v>-3.51</v>
      </c>
      <c r="W5" s="37" t="n">
        <v>-4.35</v>
      </c>
      <c r="X5" s="37" t="n">
        <v>-4.36</v>
      </c>
      <c r="Y5" s="37" t="n">
        <v>-4.91</v>
      </c>
      <c r="Z5" s="37" t="n">
        <v>-6.05</v>
      </c>
      <c r="AA5" s="37" t="n">
        <v>-6.96</v>
      </c>
      <c r="AB5" s="37" t="n">
        <v>-6.82</v>
      </c>
      <c r="AC5" s="37" t="n">
        <v>-5.51</v>
      </c>
      <c r="AD5" s="37" t="n">
        <v>-6.11</v>
      </c>
      <c r="AE5" s="37" t="n">
        <v>-7.13</v>
      </c>
    </row>
    <row r="6">
      <c r="A6" s="35" t="inlineStr">
        <is>
          <t>120日涨跌幅</t>
        </is>
      </c>
      <c r="B6" s="37" t="n">
        <v>-14.69</v>
      </c>
      <c r="C6" s="37" t="n">
        <v>-13.92</v>
      </c>
      <c r="D6" s="37" t="n">
        <v>-12.11</v>
      </c>
      <c r="E6" s="37" t="n">
        <v>-10.78</v>
      </c>
      <c r="F6" s="37" t="n">
        <v>-11.69</v>
      </c>
      <c r="G6" s="37" t="n">
        <v>-14.29</v>
      </c>
      <c r="H6" s="37" t="n">
        <v>-15.41</v>
      </c>
      <c r="I6" s="37" t="n">
        <v>-14.31</v>
      </c>
      <c r="J6" s="37" t="n">
        <v>-12.12</v>
      </c>
      <c r="K6" s="37" t="n">
        <v>-11.94</v>
      </c>
      <c r="L6" s="37" t="n">
        <v>-10.45</v>
      </c>
      <c r="M6" s="37" t="n">
        <v>-8.640000000000001</v>
      </c>
      <c r="N6" s="37" t="n">
        <v>-8.94</v>
      </c>
      <c r="O6" s="37" t="n">
        <v>-9.91</v>
      </c>
      <c r="P6" s="37" t="n">
        <v>-9.73</v>
      </c>
      <c r="Q6" s="37" t="n">
        <v>-10.34</v>
      </c>
      <c r="R6" s="37" t="n">
        <v>-10.64</v>
      </c>
      <c r="S6" s="37" t="n">
        <v>-10.78</v>
      </c>
      <c r="T6" s="37" t="n">
        <v>-8.35</v>
      </c>
      <c r="U6" s="37" t="n">
        <v>-8.289999999999999</v>
      </c>
      <c r="V6" s="37" t="n">
        <v>-7.38</v>
      </c>
      <c r="W6" s="37" t="n">
        <v>-7.33</v>
      </c>
      <c r="X6" s="37" t="n">
        <v>-7.19</v>
      </c>
      <c r="Y6" s="37" t="n">
        <v>-8.32</v>
      </c>
      <c r="Z6" s="37" t="n">
        <v>-10.19</v>
      </c>
      <c r="AA6" s="37" t="n">
        <v>-10.64</v>
      </c>
      <c r="AB6" s="37" t="n">
        <v>-8.85</v>
      </c>
      <c r="AC6" s="37" t="n">
        <v>-8.41</v>
      </c>
      <c r="AD6" s="37" t="n">
        <v>-8.49</v>
      </c>
      <c r="AE6" s="37" t="n">
        <v>-9.01</v>
      </c>
    </row>
    <row r="7">
      <c r="A7" s="35" t="inlineStr">
        <is>
          <t>成交额(亿元)</t>
        </is>
      </c>
      <c r="B7" s="37" t="n">
        <v>7582.55</v>
      </c>
      <c r="C7" s="37" t="n">
        <v>6636.4</v>
      </c>
      <c r="D7" s="37" t="n">
        <v>8052.23</v>
      </c>
      <c r="E7" s="37" t="n">
        <v>8286.940000000001</v>
      </c>
      <c r="F7" s="37" t="n">
        <v>8914.33</v>
      </c>
      <c r="G7" s="37" t="n">
        <v>7669.55</v>
      </c>
      <c r="H7" s="37" t="n">
        <v>7042.42</v>
      </c>
      <c r="I7" s="37" t="n">
        <v>7940.68</v>
      </c>
      <c r="J7" s="37" t="n">
        <v>6666.09</v>
      </c>
      <c r="K7" s="37" t="n">
        <v>8647.91</v>
      </c>
      <c r="L7" s="37" t="n">
        <v>6375.3</v>
      </c>
      <c r="M7" s="37" t="n">
        <v>6848.35</v>
      </c>
      <c r="N7" s="37" t="n">
        <v>6109.23</v>
      </c>
      <c r="O7" s="37" t="n">
        <v>6766.66</v>
      </c>
      <c r="P7" s="37" t="n">
        <v>7120.76</v>
      </c>
      <c r="Q7" s="37" t="n">
        <v>6470.19</v>
      </c>
      <c r="R7" s="37" t="n">
        <v>6742.66</v>
      </c>
      <c r="S7" s="37" t="n">
        <v>6576.02</v>
      </c>
      <c r="T7" s="37" t="n">
        <v>7363.04</v>
      </c>
      <c r="U7" s="37" t="n">
        <v>6734.32</v>
      </c>
      <c r="V7" s="37" t="n">
        <v>7374.71</v>
      </c>
      <c r="W7" s="37" t="n">
        <v>7877.77</v>
      </c>
      <c r="X7" s="37" t="n">
        <v>8226.120000000001</v>
      </c>
      <c r="Y7" s="37" t="n">
        <v>8844.190000000001</v>
      </c>
      <c r="Z7" s="37" t="n">
        <v>6368.35</v>
      </c>
      <c r="AA7" s="37" t="n">
        <v>6098.76</v>
      </c>
      <c r="AB7" s="37" t="n">
        <v>6081.12</v>
      </c>
      <c r="AC7" s="37" t="n">
        <v>7794.43</v>
      </c>
      <c r="AD7" s="37" t="n">
        <v>7324.87</v>
      </c>
      <c r="AE7" s="37" t="n">
        <v>6636.28</v>
      </c>
    </row>
    <row r="8">
      <c r="A8" s="35" t="inlineStr">
        <is>
          <t>下影线数</t>
        </is>
      </c>
      <c r="B8" s="37" t="n">
        <v>34</v>
      </c>
      <c r="C8" s="37" t="n">
        <v>10</v>
      </c>
      <c r="D8" s="37" t="n">
        <v>7</v>
      </c>
      <c r="E8" s="37" t="n">
        <v>9</v>
      </c>
      <c r="F8" s="37" t="n">
        <v>13</v>
      </c>
      <c r="G8" s="37" t="n">
        <v>321</v>
      </c>
      <c r="H8" s="37" t="n">
        <v>285</v>
      </c>
      <c r="I8" s="37" t="n">
        <v>29</v>
      </c>
      <c r="J8" s="37" t="n">
        <v>5</v>
      </c>
      <c r="K8" s="37" t="n">
        <v>664</v>
      </c>
      <c r="L8" s="37" t="n">
        <v>1</v>
      </c>
      <c r="M8" s="37" t="n">
        <v>63</v>
      </c>
      <c r="N8" s="37" t="n">
        <v>7</v>
      </c>
      <c r="O8" s="37" t="n">
        <v>5</v>
      </c>
      <c r="P8" s="37" t="n">
        <v>9</v>
      </c>
      <c r="Q8" s="37" t="n">
        <v>48</v>
      </c>
      <c r="R8" s="37" t="n">
        <v>41</v>
      </c>
      <c r="S8" s="37" t="n">
        <v>7</v>
      </c>
      <c r="T8" s="37" t="n">
        <v>3</v>
      </c>
      <c r="U8" s="37" t="n">
        <v>7</v>
      </c>
      <c r="V8" s="37" t="n">
        <v>4</v>
      </c>
      <c r="W8" s="37" t="n">
        <v>4</v>
      </c>
      <c r="X8" s="37" t="n">
        <v>6</v>
      </c>
      <c r="Y8" s="37" t="n">
        <v>10</v>
      </c>
      <c r="Z8" s="37" t="n">
        <v>12</v>
      </c>
      <c r="AA8" s="37" t="n">
        <v>6</v>
      </c>
      <c r="AB8" s="37" t="n">
        <v>10</v>
      </c>
      <c r="AC8" s="37" t="n">
        <v>16</v>
      </c>
      <c r="AD8" s="37" t="n">
        <v>32</v>
      </c>
      <c r="AE8" s="37" t="n">
        <v>1</v>
      </c>
    </row>
    <row r="9">
      <c r="A9" s="35" t="inlineStr">
        <is>
          <t>主力进场数</t>
        </is>
      </c>
      <c r="B9" s="37" t="n">
        <v>105</v>
      </c>
      <c r="C9" s="37" t="n">
        <v>41</v>
      </c>
      <c r="D9" s="37" t="n">
        <v>23</v>
      </c>
      <c r="E9" s="37" t="n">
        <v>8</v>
      </c>
      <c r="F9" s="37" t="n">
        <v>1</v>
      </c>
      <c r="G9" s="37" t="n">
        <v>0</v>
      </c>
      <c r="H9" s="37" t="n">
        <v>3</v>
      </c>
      <c r="I9" s="37" t="n">
        <v>292</v>
      </c>
      <c r="J9" s="37" t="n">
        <v>26</v>
      </c>
      <c r="K9" s="37" t="n">
        <v>0</v>
      </c>
      <c r="L9" s="37" t="n">
        <v>142</v>
      </c>
      <c r="M9" s="37" t="n">
        <v>3</v>
      </c>
      <c r="N9" s="37" t="n">
        <v>22</v>
      </c>
      <c r="O9" s="37" t="n">
        <v>10</v>
      </c>
      <c r="P9" s="37" t="n">
        <v>1</v>
      </c>
      <c r="Q9" s="37" t="n">
        <v>12</v>
      </c>
      <c r="R9" s="37" t="n">
        <v>20</v>
      </c>
      <c r="S9" s="37" t="n">
        <v>0</v>
      </c>
      <c r="T9" s="37" t="n">
        <v>0</v>
      </c>
      <c r="U9" s="37" t="n">
        <v>0</v>
      </c>
      <c r="V9" s="37" t="n">
        <v>0</v>
      </c>
      <c r="W9" s="37" t="n">
        <v>0</v>
      </c>
      <c r="X9" s="37" t="n">
        <v>2</v>
      </c>
      <c r="Y9" s="37" t="n">
        <v>0</v>
      </c>
      <c r="Z9" s="37" t="n">
        <v>8</v>
      </c>
      <c r="AA9" s="37" t="n">
        <v>28</v>
      </c>
      <c r="AB9" s="37" t="n">
        <v>5</v>
      </c>
      <c r="AC9" s="37" t="n">
        <v>19</v>
      </c>
      <c r="AD9" s="37" t="n">
        <v>0</v>
      </c>
      <c r="AE9" s="37" t="n">
        <v>59</v>
      </c>
    </row>
    <row r="10">
      <c r="A10" s="35" t="inlineStr">
        <is>
          <t>主力仓位</t>
        </is>
      </c>
      <c r="B10" s="37" t="n">
        <v>76.23</v>
      </c>
      <c r="C10" s="37" t="n">
        <v>75.53</v>
      </c>
      <c r="D10" s="37" t="n">
        <v>76.56999999999999</v>
      </c>
      <c r="E10" s="37" t="n">
        <v>79.98999999999999</v>
      </c>
      <c r="F10" s="37" t="n">
        <v>84.83</v>
      </c>
      <c r="G10" s="37" t="n">
        <v>89.67</v>
      </c>
      <c r="H10" s="37" t="n">
        <v>91.51000000000001</v>
      </c>
      <c r="I10" s="37" t="n">
        <v>91.48</v>
      </c>
      <c r="J10" s="37" t="n">
        <v>90.40000000000001</v>
      </c>
      <c r="K10" s="37" t="n">
        <v>91.43000000000001</v>
      </c>
      <c r="L10" s="37" t="n">
        <v>93.11</v>
      </c>
      <c r="M10" s="37" t="n">
        <v>91.26000000000001</v>
      </c>
      <c r="N10" s="37" t="n">
        <v>91.14</v>
      </c>
      <c r="O10" s="37" t="n">
        <v>90.17</v>
      </c>
      <c r="P10" s="37" t="n">
        <v>88.83</v>
      </c>
      <c r="Q10" s="37" t="n">
        <v>87.62</v>
      </c>
      <c r="R10" s="37" t="n">
        <v>85.59</v>
      </c>
      <c r="S10" s="37" t="n">
        <v>83.81999999999999</v>
      </c>
      <c r="T10" s="37" t="n">
        <v>81.28</v>
      </c>
      <c r="U10" s="37" t="n">
        <v>81.01000000000001</v>
      </c>
      <c r="V10" s="37" t="n">
        <v>82.2</v>
      </c>
      <c r="W10" s="37" t="n">
        <v>84.22</v>
      </c>
      <c r="X10" s="37" t="n">
        <v>86</v>
      </c>
      <c r="Y10" s="37" t="n">
        <v>88.69</v>
      </c>
      <c r="Z10" s="37" t="n">
        <v>90.45999999999999</v>
      </c>
      <c r="AA10" s="37" t="n">
        <v>90.03</v>
      </c>
      <c r="AB10" s="37" t="n">
        <v>88.63</v>
      </c>
      <c r="AC10" s="37" t="n">
        <v>88.11</v>
      </c>
      <c r="AD10" s="37" t="n">
        <v>87.31</v>
      </c>
      <c r="AE10" s="37" t="n">
        <v>86.62</v>
      </c>
    </row>
    <row r="11">
      <c r="A11" s="35" t="inlineStr">
        <is>
          <t>主力进场</t>
        </is>
      </c>
      <c r="B11" s="37" t="n">
        <v>0</v>
      </c>
      <c r="C11" s="37" t="n">
        <v>0</v>
      </c>
      <c r="D11" s="37" t="n">
        <v>0</v>
      </c>
      <c r="E11" s="37" t="n">
        <v>0</v>
      </c>
      <c r="F11" s="37" t="n">
        <v>0</v>
      </c>
      <c r="G11" s="37" t="n">
        <v>0</v>
      </c>
      <c r="H11" s="37" t="n">
        <v>27.26</v>
      </c>
      <c r="I11" s="37" t="n">
        <v>20.77</v>
      </c>
      <c r="J11" s="37" t="n">
        <v>0</v>
      </c>
      <c r="K11" s="37" t="n">
        <v>22.43</v>
      </c>
      <c r="L11" s="37" t="n">
        <v>17.58</v>
      </c>
      <c r="M11" s="37" t="n">
        <v>12.19</v>
      </c>
      <c r="N11" s="37" t="n">
        <v>0</v>
      </c>
      <c r="O11" s="37" t="n">
        <v>0</v>
      </c>
      <c r="P11" s="37" t="n">
        <v>14.8</v>
      </c>
      <c r="Q11" s="37" t="n">
        <v>12.22</v>
      </c>
      <c r="R11" s="37" t="n">
        <v>7.93</v>
      </c>
      <c r="S11" s="37" t="n">
        <v>0</v>
      </c>
      <c r="T11" s="37" t="n">
        <v>0</v>
      </c>
      <c r="U11" s="37" t="n">
        <v>0</v>
      </c>
      <c r="V11" s="37" t="n">
        <v>0</v>
      </c>
      <c r="W11" s="37" t="n">
        <v>0</v>
      </c>
      <c r="X11" s="37" t="n">
        <v>0</v>
      </c>
      <c r="Y11" s="37" t="n">
        <v>0</v>
      </c>
      <c r="Z11" s="37" t="n">
        <v>0</v>
      </c>
      <c r="AA11" s="37" t="n">
        <v>0</v>
      </c>
      <c r="AB11" s="37" t="n">
        <v>0</v>
      </c>
      <c r="AC11" s="37" t="n">
        <v>0</v>
      </c>
      <c r="AD11" s="37" t="n">
        <v>20.88</v>
      </c>
      <c r="AE11" s="37" t="n">
        <v>18.64</v>
      </c>
    </row>
    <row r="12">
      <c r="A12" s="35" t="inlineStr">
        <is>
          <t>主力清洗</t>
        </is>
      </c>
      <c r="B12" s="37" t="n">
        <v>0.43</v>
      </c>
      <c r="C12" s="37" t="n">
        <v>0.85</v>
      </c>
      <c r="D12" s="37" t="n">
        <v>1.7</v>
      </c>
      <c r="E12" s="37" t="n">
        <v>3.41</v>
      </c>
      <c r="F12" s="37" t="n">
        <v>6.81</v>
      </c>
      <c r="G12" s="37" t="n">
        <v>13.63</v>
      </c>
      <c r="H12" s="37" t="n">
        <v>0</v>
      </c>
      <c r="I12" s="37" t="n">
        <v>0</v>
      </c>
      <c r="J12" s="37" t="n">
        <v>11.21</v>
      </c>
      <c r="K12" s="37" t="n">
        <v>0</v>
      </c>
      <c r="L12" s="37" t="n">
        <v>0</v>
      </c>
      <c r="M12" s="37" t="n">
        <v>0</v>
      </c>
      <c r="N12" s="37" t="n">
        <v>3.7</v>
      </c>
      <c r="O12" s="37" t="n">
        <v>7.4</v>
      </c>
      <c r="P12" s="37" t="n">
        <v>0</v>
      </c>
      <c r="Q12" s="37" t="n">
        <v>0</v>
      </c>
      <c r="R12" s="37" t="n">
        <v>0</v>
      </c>
      <c r="S12" s="37" t="n">
        <v>0</v>
      </c>
      <c r="T12" s="37" t="n">
        <v>0</v>
      </c>
      <c r="U12" s="37" t="n">
        <v>0</v>
      </c>
      <c r="V12" s="37" t="n">
        <v>0</v>
      </c>
      <c r="W12" s="37" t="n">
        <v>0.16</v>
      </c>
      <c r="X12" s="37" t="n">
        <v>0.33</v>
      </c>
      <c r="Y12" s="37" t="n">
        <v>0.65</v>
      </c>
      <c r="Z12" s="37" t="n">
        <v>1.3</v>
      </c>
      <c r="AA12" s="37" t="n">
        <v>2.61</v>
      </c>
      <c r="AB12" s="37" t="n">
        <v>5.22</v>
      </c>
      <c r="AC12" s="37" t="n">
        <v>10.44</v>
      </c>
      <c r="AD12" s="37" t="n">
        <v>0</v>
      </c>
      <c r="AE12" s="37" t="n">
        <v>0</v>
      </c>
    </row>
    <row r="13">
      <c r="A13" s="35" t="inlineStr">
        <is>
          <t>获利比(加权)</t>
        </is>
      </c>
      <c r="B13" s="41" t="n">
        <v>0.2727</v>
      </c>
      <c r="C13" s="41" t="n">
        <v>0.2794</v>
      </c>
      <c r="D13" s="41" t="n">
        <v>0.3179</v>
      </c>
      <c r="E13" s="41" t="n">
        <v>0.3409</v>
      </c>
      <c r="F13" s="41" t="n">
        <v>0.3377</v>
      </c>
      <c r="G13" s="41" t="n">
        <v>0.2724</v>
      </c>
      <c r="H13" s="41" t="n">
        <v>0.2248</v>
      </c>
      <c r="I13" s="41" t="n">
        <v>0.2065</v>
      </c>
      <c r="J13" s="41" t="n">
        <v>0.2532</v>
      </c>
      <c r="K13" s="41" t="n">
        <v>0.265</v>
      </c>
      <c r="L13" s="41" t="n">
        <v>0.2419</v>
      </c>
      <c r="M13" s="41" t="n">
        <v>0.297</v>
      </c>
      <c r="N13" s="41" t="n">
        <v>0.2858</v>
      </c>
      <c r="O13" s="41" t="n">
        <v>0.2781</v>
      </c>
      <c r="P13" s="41" t="n">
        <v>0.2803</v>
      </c>
      <c r="Q13" s="41" t="n">
        <v>0.2664</v>
      </c>
      <c r="R13" s="41" t="n">
        <v>0.2787</v>
      </c>
      <c r="S13" s="41" t="n">
        <v>0.2652</v>
      </c>
      <c r="T13" s="41" t="n">
        <v>0.2981</v>
      </c>
      <c r="U13" s="41" t="n">
        <v>0.3248</v>
      </c>
      <c r="V13" s="41" t="n">
        <v>0.3383</v>
      </c>
      <c r="W13" s="41" t="n">
        <v>0.339</v>
      </c>
      <c r="X13" s="41" t="n">
        <v>0.3533</v>
      </c>
      <c r="Y13" s="41" t="n">
        <v>0.3165</v>
      </c>
      <c r="Z13" s="41" t="n">
        <v>0.2824</v>
      </c>
      <c r="AA13" s="41" t="n">
        <v>0.2625</v>
      </c>
      <c r="AB13" s="41" t="n">
        <v>0.2782</v>
      </c>
      <c r="AC13" s="41" t="n">
        <v>0.2664</v>
      </c>
      <c r="AD13" s="41" t="n">
        <v>0.2769</v>
      </c>
      <c r="AE13" s="41" t="n">
        <v>0.2542</v>
      </c>
    </row>
    <row r="14">
      <c r="A14" s="35" t="inlineStr">
        <is>
          <t>筹码峰获利比(加权)</t>
        </is>
      </c>
      <c r="B14" s="42" t="n">
        <v>0.3287</v>
      </c>
      <c r="C14" s="41" t="n">
        <v>0.3281</v>
      </c>
      <c r="D14" s="41" t="n">
        <v>0.3322</v>
      </c>
      <c r="E14" s="41" t="n">
        <v>0.3332</v>
      </c>
      <c r="F14" s="41" t="n">
        <v>0.3312</v>
      </c>
      <c r="G14" s="41" t="n">
        <v>0.3334</v>
      </c>
      <c r="H14" s="41" t="n">
        <v>0.335</v>
      </c>
      <c r="I14" s="41" t="n">
        <v>0.3346</v>
      </c>
      <c r="J14" s="41" t="n">
        <v>0.3338</v>
      </c>
      <c r="K14" s="41" t="n">
        <v>0.3346</v>
      </c>
      <c r="L14" s="41" t="n">
        <v>0.3322</v>
      </c>
      <c r="M14" s="41" t="n">
        <v>0.3326</v>
      </c>
      <c r="N14" s="41" t="n">
        <v>0.333</v>
      </c>
      <c r="O14" s="41" t="n">
        <v>0.3326</v>
      </c>
      <c r="P14" s="41" t="n">
        <v>0.3338</v>
      </c>
      <c r="Q14" s="41" t="n">
        <v>0.3341</v>
      </c>
      <c r="R14" s="41" t="n">
        <v>0.3345</v>
      </c>
      <c r="S14" s="41" t="n">
        <v>0.3343</v>
      </c>
      <c r="T14" s="41" t="n">
        <v>0.3341</v>
      </c>
      <c r="U14" s="41" t="n">
        <v>0.3357</v>
      </c>
      <c r="V14" s="41" t="n">
        <v>0.3359</v>
      </c>
      <c r="W14" s="41" t="n">
        <v>0.3367</v>
      </c>
      <c r="X14" s="41" t="n">
        <v>0.3381</v>
      </c>
      <c r="Y14" s="41" t="n">
        <v>0.3376</v>
      </c>
      <c r="Z14" s="41" t="n">
        <v>0.3386</v>
      </c>
      <c r="AA14" s="41" t="n">
        <v>0.3408</v>
      </c>
      <c r="AB14" s="41" t="n">
        <v>0.3413</v>
      </c>
      <c r="AC14" s="41" t="n">
        <v>0.3415</v>
      </c>
      <c r="AD14" s="41" t="n">
        <v>0.3431</v>
      </c>
      <c r="AE14" s="41" t="n">
        <v>0.3431</v>
      </c>
    </row>
    <row r="15">
      <c r="A15" s="43" t="inlineStr">
        <is>
          <t>筹码峰日涨跌(加权)</t>
        </is>
      </c>
      <c r="B15" s="42" t="n">
        <v>-0.073</v>
      </c>
      <c r="C15" s="41" t="n">
        <v>-0.0611</v>
      </c>
      <c r="D15" s="41" t="n">
        <v>-0.0466</v>
      </c>
      <c r="E15" s="41" t="n">
        <v>-0.0407</v>
      </c>
      <c r="F15" s="41" t="n">
        <v>-0.0445</v>
      </c>
      <c r="G15" s="41" t="n">
        <v>-0.0722</v>
      </c>
      <c r="H15" s="41" t="n">
        <v>-0.0872</v>
      </c>
      <c r="I15" s="41" t="n">
        <v>-0.0946</v>
      </c>
      <c r="J15" s="41" t="n">
        <v>-0.0684</v>
      </c>
      <c r="K15" s="41" t="n">
        <v>-0.0625</v>
      </c>
      <c r="L15" s="41" t="n">
        <v>-0.0663</v>
      </c>
      <c r="M15" s="41" t="n">
        <v>-0.0511</v>
      </c>
      <c r="N15" s="41" t="n">
        <v>-0.0531</v>
      </c>
      <c r="O15" s="41" t="n">
        <v>-0.0549</v>
      </c>
      <c r="P15" s="41" t="n">
        <v>-0.0541</v>
      </c>
      <c r="Q15" s="41" t="n">
        <v>-0.0614</v>
      </c>
      <c r="R15" s="41" t="n">
        <v>-0.0556</v>
      </c>
      <c r="S15" s="41" t="n">
        <v>-0.0586</v>
      </c>
      <c r="T15" s="41" t="n">
        <v>-0.0458</v>
      </c>
      <c r="U15" s="41" t="n">
        <v>-0.0373</v>
      </c>
      <c r="V15" s="41" t="n">
        <v>-0.0322</v>
      </c>
      <c r="W15" s="41" t="n">
        <v>-0.032</v>
      </c>
      <c r="X15" s="41" t="n">
        <v>-0.0304</v>
      </c>
      <c r="Y15" s="41" t="n">
        <v>-0.0363</v>
      </c>
      <c r="Z15" s="41" t="n">
        <v>-0.0531</v>
      </c>
      <c r="AA15" s="41" t="n">
        <v>-0.0577</v>
      </c>
      <c r="AB15" s="41" t="n">
        <v>-0.0511</v>
      </c>
      <c r="AC15" s="41" t="n">
        <v>-0.0532</v>
      </c>
      <c r="AD15" s="41" t="n">
        <v>-0.05</v>
      </c>
      <c r="AE15" s="41" t="n">
        <v>-0.0568</v>
      </c>
    </row>
    <row r="16">
      <c r="A16" s="43" t="inlineStr">
        <is>
          <t>底部30%获利比(加权)</t>
        </is>
      </c>
      <c r="B16" s="41" t="n">
        <v>0.2735</v>
      </c>
      <c r="C16" s="41" t="n">
        <v>0.2778</v>
      </c>
      <c r="D16" s="41" t="n">
        <v>0.2786</v>
      </c>
      <c r="E16" s="41" t="n">
        <v>0.2764</v>
      </c>
      <c r="F16" s="41" t="n">
        <v>0.2684</v>
      </c>
      <c r="G16" s="41" t="n">
        <v>0.2612</v>
      </c>
      <c r="H16" s="41" t="n">
        <v>0.2586</v>
      </c>
      <c r="I16" s="41" t="n">
        <v>0.2602</v>
      </c>
      <c r="J16" s="41" t="n">
        <v>0.2718</v>
      </c>
      <c r="K16" s="41" t="n">
        <v>0.2689</v>
      </c>
      <c r="L16" s="41" t="n">
        <v>0.2781</v>
      </c>
      <c r="M16" s="41" t="n">
        <v>0.2777</v>
      </c>
      <c r="N16" s="41" t="n">
        <v>0.277</v>
      </c>
      <c r="O16" s="41" t="n">
        <v>0.2767</v>
      </c>
      <c r="P16" s="41" t="n">
        <v>0.2749</v>
      </c>
      <c r="Q16" s="41" t="n">
        <v>0.2722</v>
      </c>
      <c r="R16" s="41" t="n">
        <v>0.2716</v>
      </c>
      <c r="S16" s="41" t="n">
        <v>0.2716</v>
      </c>
      <c r="T16" s="41" t="n">
        <v>0.2733</v>
      </c>
      <c r="U16" s="41" t="n">
        <v>0.2724</v>
      </c>
      <c r="V16" s="41" t="n">
        <v>0.2718</v>
      </c>
      <c r="W16" s="41" t="n">
        <v>0.2704</v>
      </c>
      <c r="X16" s="41" t="n">
        <v>0.2684</v>
      </c>
      <c r="Y16" s="41" t="n">
        <v>0.2674</v>
      </c>
      <c r="Z16" s="41" t="n">
        <v>0.2612</v>
      </c>
      <c r="AA16" s="41" t="n">
        <v>0.2618</v>
      </c>
      <c r="AB16" s="41" t="n">
        <v>0.2622</v>
      </c>
      <c r="AC16" s="41" t="n">
        <v>0.2616</v>
      </c>
      <c r="AD16" s="41" t="n">
        <v>0.2598</v>
      </c>
      <c r="AE16" s="41" t="n">
        <v>0.2601</v>
      </c>
    </row>
    <row r="17">
      <c r="A17" s="35" t="inlineStr">
        <is>
          <t>顶部30%获利比(加权)</t>
        </is>
      </c>
      <c r="B17" s="41" t="n">
        <v>0.2219</v>
      </c>
      <c r="C17" s="41" t="n">
        <v>0.2189</v>
      </c>
      <c r="D17" s="41" t="n">
        <v>0.2179</v>
      </c>
      <c r="E17" s="41" t="n">
        <v>0.2203</v>
      </c>
      <c r="F17" s="41" t="n">
        <v>0.2255</v>
      </c>
      <c r="G17" s="41" t="n">
        <v>0.2284</v>
      </c>
      <c r="H17" s="41" t="n">
        <v>0.2288</v>
      </c>
      <c r="I17" s="41" t="n">
        <v>0.2268</v>
      </c>
      <c r="J17" s="41" t="n">
        <v>0.2216</v>
      </c>
      <c r="K17" s="41" t="n">
        <v>0.2228</v>
      </c>
      <c r="L17" s="41" t="n">
        <v>0.2167</v>
      </c>
      <c r="M17" s="41" t="n">
        <v>0.2166</v>
      </c>
      <c r="N17" s="41" t="n">
        <v>0.2168</v>
      </c>
      <c r="O17" s="41" t="n">
        <v>0.2166</v>
      </c>
      <c r="P17" s="41" t="n">
        <v>0.2179</v>
      </c>
      <c r="Q17" s="41" t="n">
        <v>0.219</v>
      </c>
      <c r="R17" s="41" t="n">
        <v>0.2193</v>
      </c>
      <c r="S17" s="41" t="n">
        <v>0.2203</v>
      </c>
      <c r="T17" s="41" t="n">
        <v>0.2195</v>
      </c>
      <c r="U17" s="41" t="n">
        <v>0.2203</v>
      </c>
      <c r="V17" s="41" t="n">
        <v>0.2212</v>
      </c>
      <c r="W17" s="41" t="n">
        <v>0.2221</v>
      </c>
      <c r="X17" s="41" t="n">
        <v>0.2241</v>
      </c>
      <c r="Y17" s="41" t="n">
        <v>0.2244</v>
      </c>
      <c r="Z17" s="41" t="n">
        <v>0.2268</v>
      </c>
      <c r="AA17" s="41" t="n">
        <v>0.2254</v>
      </c>
      <c r="AB17" s="41" t="n">
        <v>0.2267</v>
      </c>
      <c r="AC17" s="41" t="n">
        <v>0.2269</v>
      </c>
      <c r="AD17" s="41" t="n">
        <v>0.2279</v>
      </c>
      <c r="AE17" s="41" t="n">
        <v>0.228</v>
      </c>
    </row>
    <row r="18">
      <c r="A18" s="43" t="inlineStr">
        <is>
          <t>底部20%获利比(加权)</t>
        </is>
      </c>
      <c r="B18" s="41" t="n">
        <v>0.1636</v>
      </c>
      <c r="C18" s="41" t="n">
        <v>0.1676</v>
      </c>
      <c r="D18" s="41" t="n">
        <v>0.169</v>
      </c>
      <c r="E18" s="41" t="n">
        <v>0.1679</v>
      </c>
      <c r="F18" s="41" t="n">
        <v>0.1634</v>
      </c>
      <c r="G18" s="41" t="n">
        <v>0.1572</v>
      </c>
      <c r="H18" s="41" t="n">
        <v>0.1541</v>
      </c>
      <c r="I18" s="41" t="n">
        <v>0.1543</v>
      </c>
      <c r="J18" s="41" t="n">
        <v>0.163</v>
      </c>
      <c r="K18" s="41" t="n">
        <v>0.16</v>
      </c>
      <c r="L18" s="41" t="n">
        <v>0.1676</v>
      </c>
      <c r="M18" s="41" t="n">
        <v>0.1677</v>
      </c>
      <c r="N18" s="41" t="n">
        <v>0.1669</v>
      </c>
      <c r="O18" s="41" t="n">
        <v>0.1665</v>
      </c>
      <c r="P18" s="41" t="n">
        <v>0.1648</v>
      </c>
      <c r="Q18" s="41" t="n">
        <v>0.1625</v>
      </c>
      <c r="R18" s="41" t="n">
        <v>0.1622</v>
      </c>
      <c r="S18" s="41" t="n">
        <v>0.1621</v>
      </c>
      <c r="T18" s="41" t="n">
        <v>0.1638</v>
      </c>
      <c r="U18" s="41" t="n">
        <v>0.1631</v>
      </c>
      <c r="V18" s="41" t="n">
        <v>0.1623</v>
      </c>
      <c r="W18" s="41" t="n">
        <v>0.1607</v>
      </c>
      <c r="X18" s="41" t="n">
        <v>0.1579</v>
      </c>
      <c r="Y18" s="41" t="n">
        <v>0.1577</v>
      </c>
      <c r="Z18" s="41" t="n">
        <v>0.1512</v>
      </c>
      <c r="AA18" s="41" t="n">
        <v>0.1514</v>
      </c>
      <c r="AB18" s="41" t="n">
        <v>0.1517</v>
      </c>
      <c r="AC18" s="41" t="n">
        <v>0.1509</v>
      </c>
      <c r="AD18" s="41" t="n">
        <v>0.1485</v>
      </c>
      <c r="AE18" s="41" t="n">
        <v>0.149</v>
      </c>
    </row>
    <row r="19">
      <c r="A19" s="35" t="inlineStr">
        <is>
          <t>顶部20%获利比(加权)</t>
        </is>
      </c>
      <c r="B19" s="41" t="n">
        <v>0.1228</v>
      </c>
      <c r="C19" s="41" t="n">
        <v>0.1208</v>
      </c>
      <c r="D19" s="41" t="n">
        <v>0.1199</v>
      </c>
      <c r="E19" s="41" t="n">
        <v>0.1219</v>
      </c>
      <c r="F19" s="41" t="n">
        <v>0.1258</v>
      </c>
      <c r="G19" s="41" t="n">
        <v>0.1276</v>
      </c>
      <c r="H19" s="41" t="n">
        <v>0.127</v>
      </c>
      <c r="I19" s="41" t="n">
        <v>0.1258</v>
      </c>
      <c r="J19" s="41" t="n">
        <v>0.1227</v>
      </c>
      <c r="K19" s="41" t="n">
        <v>0.123</v>
      </c>
      <c r="L19" s="41" t="n">
        <v>0.12</v>
      </c>
      <c r="M19" s="41" t="n">
        <v>0.1193</v>
      </c>
      <c r="N19" s="41" t="n">
        <v>0.1193</v>
      </c>
      <c r="O19" s="41" t="n">
        <v>0.119</v>
      </c>
      <c r="P19" s="41" t="n">
        <v>0.1194</v>
      </c>
      <c r="Q19" s="41" t="n">
        <v>0.1199</v>
      </c>
      <c r="R19" s="41" t="n">
        <v>0.1197</v>
      </c>
      <c r="S19" s="41" t="n">
        <v>0.1197</v>
      </c>
      <c r="T19" s="41" t="n">
        <v>0.119</v>
      </c>
      <c r="U19" s="41" t="n">
        <v>0.1195</v>
      </c>
      <c r="V19" s="41" t="n">
        <v>0.1201</v>
      </c>
      <c r="W19" s="41" t="n">
        <v>0.121</v>
      </c>
      <c r="X19" s="41" t="n">
        <v>0.1225</v>
      </c>
      <c r="Y19" s="41" t="n">
        <v>0.1229</v>
      </c>
      <c r="Z19" s="41" t="n">
        <v>0.1241</v>
      </c>
      <c r="AA19" s="41" t="n">
        <v>0.1231</v>
      </c>
      <c r="AB19" s="41" t="n">
        <v>0.1246</v>
      </c>
      <c r="AC19" s="41" t="n">
        <v>0.1246</v>
      </c>
      <c r="AD19" s="41" t="n">
        <v>0.1252</v>
      </c>
      <c r="AE19" s="41" t="n">
        <v>0.1252</v>
      </c>
    </row>
    <row r="20">
      <c r="A20" s="35" t="inlineStr">
        <is>
          <t>偏度(加权)</t>
        </is>
      </c>
      <c r="B20" s="37" t="n">
        <v>2.71</v>
      </c>
      <c r="C20" s="37" t="n">
        <v>2.71</v>
      </c>
      <c r="D20" s="37" t="n">
        <v>2.73</v>
      </c>
      <c r="E20" s="37" t="n">
        <v>2.74</v>
      </c>
      <c r="F20" s="37" t="n">
        <v>2.72</v>
      </c>
      <c r="G20" s="37" t="n">
        <v>2.7</v>
      </c>
      <c r="H20" s="37" t="n">
        <v>2.71</v>
      </c>
      <c r="I20" s="37" t="n">
        <v>2.71</v>
      </c>
      <c r="J20" s="37" t="n">
        <v>2.72</v>
      </c>
      <c r="K20" s="37" t="n">
        <v>2.72</v>
      </c>
      <c r="L20" s="37" t="n">
        <v>2.75</v>
      </c>
      <c r="M20" s="37" t="n">
        <v>2.76</v>
      </c>
      <c r="N20" s="37" t="n">
        <v>2.76</v>
      </c>
      <c r="O20" s="37" t="n">
        <v>2.76</v>
      </c>
      <c r="P20" s="37" t="n">
        <v>2.77</v>
      </c>
      <c r="Q20" s="37" t="n">
        <v>2.77</v>
      </c>
      <c r="R20" s="37" t="n">
        <v>2.79</v>
      </c>
      <c r="S20" s="37" t="n">
        <v>2.79</v>
      </c>
      <c r="T20" s="37" t="n">
        <v>2.8</v>
      </c>
      <c r="U20" s="37" t="n">
        <v>2.82</v>
      </c>
      <c r="V20" s="37" t="n">
        <v>2.82</v>
      </c>
      <c r="W20" s="37" t="n">
        <v>2.83</v>
      </c>
      <c r="X20" s="37" t="n">
        <v>2.88</v>
      </c>
      <c r="Y20" s="37" t="n">
        <v>2.81</v>
      </c>
      <c r="Z20" s="37" t="n">
        <v>2.84</v>
      </c>
      <c r="AA20" s="37" t="n">
        <v>2.84</v>
      </c>
      <c r="AB20" s="37" t="n">
        <v>2.86</v>
      </c>
      <c r="AC20" s="37" t="n">
        <v>2.86</v>
      </c>
      <c r="AD20" s="37" t="n">
        <v>2.88</v>
      </c>
      <c r="AE20" s="37" t="n">
        <v>2.88</v>
      </c>
    </row>
    <row r="21">
      <c r="A21" s="35" t="inlineStr">
        <is>
          <t>峰度(加权)</t>
        </is>
      </c>
      <c r="B21" s="37" t="n">
        <v>12.91</v>
      </c>
      <c r="C21" s="37" t="n">
        <v>12.73</v>
      </c>
      <c r="D21" s="37" t="n">
        <v>12.99</v>
      </c>
      <c r="E21" s="37" t="n">
        <v>13.11</v>
      </c>
      <c r="F21" s="37" t="n">
        <v>12.75</v>
      </c>
      <c r="G21" s="37" t="n">
        <v>12.53</v>
      </c>
      <c r="H21" s="37" t="n">
        <v>12.67</v>
      </c>
      <c r="I21" s="37" t="n">
        <v>12.67</v>
      </c>
      <c r="J21" s="37" t="n">
        <v>12.92</v>
      </c>
      <c r="K21" s="37" t="n">
        <v>12.65</v>
      </c>
      <c r="L21" s="37" t="n">
        <v>13.07</v>
      </c>
      <c r="M21" s="37" t="n">
        <v>13.2</v>
      </c>
      <c r="N21" s="37" t="n">
        <v>13.19</v>
      </c>
      <c r="O21" s="37" t="n">
        <v>13.34</v>
      </c>
      <c r="P21" s="37" t="n">
        <v>13.28</v>
      </c>
      <c r="Q21" s="37" t="n">
        <v>13.36</v>
      </c>
      <c r="R21" s="37" t="n">
        <v>13.56</v>
      </c>
      <c r="S21" s="37" t="n">
        <v>13.61</v>
      </c>
      <c r="T21" s="37" t="n">
        <v>13.77</v>
      </c>
      <c r="U21" s="37" t="n">
        <v>13.96</v>
      </c>
      <c r="V21" s="37" t="n">
        <v>13.86</v>
      </c>
      <c r="W21" s="37" t="n">
        <v>14.06</v>
      </c>
      <c r="X21" s="37" t="n">
        <v>14.66</v>
      </c>
      <c r="Y21" s="37" t="n">
        <v>13.5</v>
      </c>
      <c r="Z21" s="37" t="n">
        <v>13.79</v>
      </c>
      <c r="AA21" s="37" t="n">
        <v>13.9</v>
      </c>
      <c r="AB21" s="37" t="n">
        <v>14.11</v>
      </c>
      <c r="AC21" s="37" t="n">
        <v>14.03</v>
      </c>
      <c r="AD21" s="37" t="n">
        <v>14.15</v>
      </c>
      <c r="AE21" s="37" t="n">
        <v>14.25</v>
      </c>
    </row>
    <row r="22">
      <c r="A22" s="43" t="inlineStr">
        <is>
          <t>主力建仓(avg)</t>
        </is>
      </c>
      <c r="B22" s="37" t="n">
        <v>291</v>
      </c>
      <c r="C22" s="37" t="n">
        <v>125</v>
      </c>
      <c r="D22" s="37" t="n">
        <v>67</v>
      </c>
      <c r="E22" s="37" t="n">
        <v>21</v>
      </c>
      <c r="F22" s="37" t="n">
        <v>1</v>
      </c>
      <c r="G22" s="37" t="n">
        <v>0</v>
      </c>
      <c r="H22" s="37" t="n">
        <v>20</v>
      </c>
      <c r="I22" s="37" t="n">
        <v>598</v>
      </c>
      <c r="J22" s="37" t="n">
        <v>71</v>
      </c>
      <c r="K22" s="37" t="n">
        <v>1</v>
      </c>
      <c r="L22" s="37" t="n">
        <v>374</v>
      </c>
      <c r="M22" s="37" t="n">
        <v>5</v>
      </c>
      <c r="N22" s="37" t="n">
        <v>46</v>
      </c>
      <c r="O22" s="37" t="n">
        <v>23</v>
      </c>
      <c r="P22" s="37" t="n">
        <v>2</v>
      </c>
      <c r="Q22" s="37" t="n">
        <v>30</v>
      </c>
      <c r="R22" s="37" t="n">
        <v>36</v>
      </c>
      <c r="S22" s="37" t="n">
        <v>0</v>
      </c>
      <c r="T22" s="37" t="n">
        <v>0</v>
      </c>
      <c r="U22" s="37" t="n">
        <v>0</v>
      </c>
      <c r="V22" s="37" t="n">
        <v>0</v>
      </c>
      <c r="W22" s="37" t="n">
        <v>0</v>
      </c>
      <c r="X22" s="37" t="n">
        <v>2</v>
      </c>
      <c r="Y22" s="37" t="n">
        <v>1</v>
      </c>
      <c r="Z22" s="37" t="n">
        <v>16</v>
      </c>
      <c r="AA22" s="37" t="n">
        <v>80</v>
      </c>
      <c r="AB22" s="37" t="n">
        <v>11</v>
      </c>
      <c r="AC22" s="37" t="n">
        <v>46</v>
      </c>
      <c r="AD22" s="37" t="n">
        <v>0</v>
      </c>
      <c r="AE22" s="37" t="n">
        <v>162</v>
      </c>
    </row>
    <row r="23">
      <c r="A23" s="43" t="inlineStr">
        <is>
          <t>新低数120d(avg)</t>
        </is>
      </c>
      <c r="B23" s="37" t="n">
        <v>1614</v>
      </c>
      <c r="C23" s="37" t="n">
        <v>952</v>
      </c>
      <c r="D23" s="37" t="n">
        <v>394</v>
      </c>
      <c r="E23" s="37" t="n">
        <v>142</v>
      </c>
      <c r="F23" s="37" t="n">
        <v>46</v>
      </c>
      <c r="G23" s="37" t="n">
        <v>974</v>
      </c>
      <c r="H23" s="37" t="n">
        <v>2136</v>
      </c>
      <c r="I23" s="37" t="n">
        <v>2060</v>
      </c>
      <c r="J23" s="37" t="n">
        <v>81</v>
      </c>
      <c r="K23" s="37" t="n">
        <v>2441</v>
      </c>
      <c r="L23" s="37" t="n">
        <v>1410</v>
      </c>
      <c r="M23" s="37" t="n">
        <v>812</v>
      </c>
      <c r="N23" s="37" t="n">
        <v>681</v>
      </c>
      <c r="O23" s="37" t="n">
        <v>317</v>
      </c>
      <c r="P23" s="37" t="n">
        <v>459</v>
      </c>
      <c r="Q23" s="37" t="n">
        <v>1199</v>
      </c>
      <c r="R23" s="37" t="n">
        <v>1206</v>
      </c>
      <c r="S23" s="37" t="n">
        <v>1144</v>
      </c>
      <c r="T23" s="37" t="n">
        <v>538</v>
      </c>
      <c r="U23" s="37" t="n">
        <v>353</v>
      </c>
      <c r="V23" s="37" t="n">
        <v>135</v>
      </c>
      <c r="W23" s="37" t="n">
        <v>56</v>
      </c>
      <c r="X23" s="37" t="n">
        <v>26</v>
      </c>
      <c r="Y23" s="37" t="n">
        <v>211</v>
      </c>
      <c r="Z23" s="37" t="n">
        <v>765</v>
      </c>
      <c r="AA23" s="37" t="n">
        <v>682</v>
      </c>
      <c r="AB23" s="37" t="n">
        <v>380</v>
      </c>
      <c r="AC23" s="37" t="n">
        <v>357</v>
      </c>
      <c r="AD23" s="37" t="n">
        <v>1501</v>
      </c>
      <c r="AE23" s="37" t="n">
        <v>959</v>
      </c>
    </row>
    <row r="24">
      <c r="A24" s="35" t="inlineStr">
        <is>
          <t>新高数120d(avg)</t>
        </is>
      </c>
      <c r="B24" s="37" t="n">
        <v>358</v>
      </c>
      <c r="C24" s="37" t="n">
        <v>243</v>
      </c>
      <c r="D24" s="37" t="n">
        <v>1190</v>
      </c>
      <c r="E24" s="37" t="n">
        <v>990</v>
      </c>
      <c r="F24" s="37" t="n">
        <v>742</v>
      </c>
      <c r="G24" s="37" t="n">
        <v>271</v>
      </c>
      <c r="H24" s="37" t="n">
        <v>17</v>
      </c>
      <c r="I24" s="37" t="n">
        <v>141</v>
      </c>
      <c r="J24" s="37" t="n">
        <v>34</v>
      </c>
      <c r="K24" s="37" t="n">
        <v>32</v>
      </c>
      <c r="L24" s="37" t="n">
        <v>296</v>
      </c>
      <c r="M24" s="37" t="n">
        <v>232</v>
      </c>
      <c r="N24" s="37" t="n">
        <v>156</v>
      </c>
      <c r="O24" s="37" t="n">
        <v>120</v>
      </c>
      <c r="P24" s="37" t="n">
        <v>80</v>
      </c>
      <c r="Q24" s="37" t="n">
        <v>181</v>
      </c>
      <c r="R24" s="37" t="n">
        <v>176</v>
      </c>
      <c r="S24" s="37" t="n">
        <v>133</v>
      </c>
      <c r="T24" s="37" t="n">
        <v>512</v>
      </c>
      <c r="U24" s="37" t="n">
        <v>453</v>
      </c>
      <c r="V24" s="37" t="n">
        <v>308</v>
      </c>
      <c r="W24" s="37" t="n">
        <v>310</v>
      </c>
      <c r="X24" s="37" t="n">
        <v>151</v>
      </c>
      <c r="Y24" s="37" t="n">
        <v>239</v>
      </c>
      <c r="Z24" s="37" t="n">
        <v>65</v>
      </c>
      <c r="AA24" s="37" t="n">
        <v>271</v>
      </c>
      <c r="AB24" s="37" t="n">
        <v>96</v>
      </c>
      <c r="AC24" s="37" t="n">
        <v>94</v>
      </c>
      <c r="AD24" s="37" t="n">
        <v>39</v>
      </c>
      <c r="AE24" s="37" t="n">
        <v>147</v>
      </c>
    </row>
    <row r="25">
      <c r="A25" s="35" t="inlineStr">
        <is>
          <t>下影线数120d(avg)</t>
        </is>
      </c>
      <c r="B25" s="37" t="n">
        <v>267</v>
      </c>
      <c r="C25" s="37" t="n">
        <v>61</v>
      </c>
      <c r="D25" s="37" t="n">
        <v>44</v>
      </c>
      <c r="E25" s="37" t="n">
        <v>102</v>
      </c>
      <c r="F25" s="37" t="n">
        <v>160</v>
      </c>
      <c r="G25" s="37" t="n">
        <v>3347</v>
      </c>
      <c r="H25" s="37" t="n">
        <v>2004</v>
      </c>
      <c r="I25" s="37" t="n">
        <v>291</v>
      </c>
      <c r="J25" s="37" t="n">
        <v>20</v>
      </c>
      <c r="K25" s="37" t="n">
        <v>5114</v>
      </c>
      <c r="L25" s="37" t="n">
        <v>13</v>
      </c>
      <c r="M25" s="37" t="n">
        <v>366</v>
      </c>
      <c r="N25" s="37" t="n">
        <v>86</v>
      </c>
      <c r="O25" s="37" t="n">
        <v>57</v>
      </c>
      <c r="P25" s="37" t="n">
        <v>116</v>
      </c>
      <c r="Q25" s="37" t="n">
        <v>236</v>
      </c>
      <c r="R25" s="37" t="n">
        <v>323</v>
      </c>
      <c r="S25" s="37" t="n">
        <v>29</v>
      </c>
      <c r="T25" s="37" t="n">
        <v>14</v>
      </c>
      <c r="U25" s="37" t="n">
        <v>47</v>
      </c>
      <c r="V25" s="37" t="n">
        <v>16</v>
      </c>
      <c r="W25" s="37" t="n">
        <v>60</v>
      </c>
      <c r="X25" s="37" t="n">
        <v>54</v>
      </c>
      <c r="Y25" s="37" t="n">
        <v>78</v>
      </c>
      <c r="Z25" s="37" t="n">
        <v>116</v>
      </c>
      <c r="AA25" s="37" t="n">
        <v>69</v>
      </c>
      <c r="AB25" s="37" t="n">
        <v>71</v>
      </c>
      <c r="AC25" s="37" t="n">
        <v>73</v>
      </c>
      <c r="AD25" s="37" t="n">
        <v>190</v>
      </c>
      <c r="AE25" s="37" t="n">
        <v>7</v>
      </c>
    </row>
    <row r="26">
      <c r="A26" s="35" t="inlineStr">
        <is>
          <t>人民币</t>
        </is>
      </c>
      <c r="B26" s="37" t="n">
        <v>7.18</v>
      </c>
      <c r="C26" s="37" t="n">
        <v>7.19</v>
      </c>
      <c r="D26" s="37" t="n">
        <v>7.19</v>
      </c>
      <c r="E26" s="37" t="n">
        <v>7.19</v>
      </c>
      <c r="F26" s="37" t="n">
        <v>7.18</v>
      </c>
      <c r="G26" s="37" t="n">
        <v>7.16</v>
      </c>
      <c r="H26" s="37" t="n">
        <v>7.17</v>
      </c>
      <c r="I26" s="37" t="n">
        <v>7.19</v>
      </c>
      <c r="J26" s="37" t="n">
        <v>7.2</v>
      </c>
      <c r="K26" s="37" t="n">
        <v>7.21</v>
      </c>
      <c r="L26" s="37" t="n">
        <v>7.22</v>
      </c>
      <c r="M26" s="37" t="n">
        <v>7.22</v>
      </c>
      <c r="N26" s="37" t="n">
        <v>7.18</v>
      </c>
      <c r="O26" s="37" t="n">
        <v>7.19</v>
      </c>
      <c r="P26" s="37" t="n">
        <v>7.17</v>
      </c>
      <c r="Q26" s="37" t="n">
        <v>7.18</v>
      </c>
      <c r="R26" s="37" t="n">
        <v>7.18</v>
      </c>
      <c r="S26" s="37" t="n">
        <v>7.16</v>
      </c>
      <c r="T26" s="37" t="n">
        <v>7.17</v>
      </c>
      <c r="U26" s="37" t="n">
        <v>7.18</v>
      </c>
      <c r="V26" s="37" t="n">
        <v>7.16</v>
      </c>
      <c r="W26" s="37" t="n">
        <v>7.15</v>
      </c>
      <c r="X26" s="37" t="n">
        <v>7.13</v>
      </c>
      <c r="Y26" s="37" t="n">
        <v>7.12</v>
      </c>
      <c r="Z26" s="37" t="n">
        <v>7.15</v>
      </c>
      <c r="AA26" s="37" t="n">
        <v>7.14</v>
      </c>
      <c r="AB26" s="37" t="n">
        <v>7.15</v>
      </c>
      <c r="AC26" s="37" t="n">
        <v>7.15</v>
      </c>
      <c r="AD26" s="37" t="n">
        <v>7.14</v>
      </c>
      <c r="AE26" s="37" t="n">
        <v>7.15</v>
      </c>
    </row>
    <row r="27">
      <c r="A27" s="35" t="inlineStr">
        <is>
          <t>人民币涨跌幅</t>
        </is>
      </c>
      <c r="B27" s="37" t="n">
        <v>-0.04</v>
      </c>
      <c r="C27" s="37" t="n">
        <v>0.01</v>
      </c>
      <c r="D27" s="37" t="n">
        <v>-0</v>
      </c>
      <c r="E27" s="37" t="n">
        <v>0.1</v>
      </c>
      <c r="F27" s="37" t="n">
        <v>0.27</v>
      </c>
      <c r="G27" s="37" t="n">
        <v>-0.07000000000000001</v>
      </c>
      <c r="H27" s="37" t="n">
        <v>-0.37</v>
      </c>
      <c r="I27" s="37" t="n">
        <v>-0.12</v>
      </c>
      <c r="J27" s="37" t="n">
        <v>-0.19</v>
      </c>
      <c r="K27" s="37" t="n">
        <v>-0.09</v>
      </c>
      <c r="L27" s="37" t="n">
        <v>0.05</v>
      </c>
      <c r="M27" s="37" t="n">
        <v>0.48</v>
      </c>
      <c r="N27" s="37" t="n">
        <v>-0.08</v>
      </c>
      <c r="O27" s="37" t="n">
        <v>0.22</v>
      </c>
      <c r="P27" s="37" t="n">
        <v>-0.12</v>
      </c>
      <c r="Q27" s="37" t="n">
        <v>-0.02</v>
      </c>
      <c r="R27" s="37" t="n">
        <v>0.31</v>
      </c>
      <c r="S27" s="37" t="n">
        <v>-0.06</v>
      </c>
      <c r="T27" s="37" t="n">
        <v>-0.15</v>
      </c>
      <c r="U27" s="37" t="n">
        <v>0.18</v>
      </c>
      <c r="V27" s="37" t="n">
        <v>0.19</v>
      </c>
      <c r="W27" s="37" t="n">
        <v>0.35</v>
      </c>
      <c r="X27" s="37" t="n">
        <v>0.09</v>
      </c>
      <c r="Y27" s="37" t="n">
        <v>-0.46</v>
      </c>
      <c r="Z27" s="37" t="n">
        <v>0.15</v>
      </c>
      <c r="AA27" s="37" t="n">
        <v>-0.07000000000000001</v>
      </c>
      <c r="AB27" s="37" t="n">
        <v>-0.1</v>
      </c>
      <c r="AC27" s="37" t="n">
        <v>0.16</v>
      </c>
      <c r="AD27" s="37" t="n">
        <v>-0.11</v>
      </c>
      <c r="AE27" s="37" t="n">
        <v>0.39</v>
      </c>
    </row>
    <row r="28">
      <c r="A28" s="35" t="inlineStr">
        <is>
          <t>人民币5日涨跌幅</t>
        </is>
      </c>
      <c r="B28" s="37" t="n">
        <v>0.33</v>
      </c>
      <c r="C28" s="37" t="n">
        <v>0.29</v>
      </c>
      <c r="D28" s="37" t="n">
        <v>-0.08</v>
      </c>
      <c r="E28" s="37" t="n">
        <v>-0.2</v>
      </c>
      <c r="F28" s="37" t="n">
        <v>-0.49</v>
      </c>
      <c r="G28" s="37" t="n">
        <v>-0.84</v>
      </c>
      <c r="H28" s="37" t="n">
        <v>-0.72</v>
      </c>
      <c r="I28" s="37" t="n">
        <v>0.13</v>
      </c>
      <c r="J28" s="37" t="n">
        <v>0.17</v>
      </c>
      <c r="K28" s="37" t="n">
        <v>0.57</v>
      </c>
      <c r="L28" s="37" t="n">
        <v>0.54</v>
      </c>
      <c r="M28" s="37" t="n">
        <v>0.48</v>
      </c>
      <c r="N28" s="37" t="n">
        <v>0.31</v>
      </c>
      <c r="O28" s="37" t="n">
        <v>0.33</v>
      </c>
      <c r="P28" s="37" t="n">
        <v>-0.04</v>
      </c>
      <c r="Q28" s="37" t="n">
        <v>0.26</v>
      </c>
      <c r="R28" s="37" t="n">
        <v>0.46</v>
      </c>
      <c r="S28" s="37" t="n">
        <v>0.5</v>
      </c>
      <c r="T28" s="37" t="n">
        <v>0.66</v>
      </c>
      <c r="U28" s="37" t="n">
        <v>0.35</v>
      </c>
      <c r="V28" s="37" t="n">
        <v>0.32</v>
      </c>
      <c r="W28" s="37" t="n">
        <v>0.06</v>
      </c>
      <c r="X28" s="37" t="n">
        <v>-0.39</v>
      </c>
      <c r="Y28" s="37" t="n">
        <v>-0.32</v>
      </c>
      <c r="Z28" s="37" t="n">
        <v>0.03</v>
      </c>
      <c r="AA28" s="37" t="n">
        <v>0.27</v>
      </c>
      <c r="AB28" s="37" t="n">
        <v>0.05</v>
      </c>
      <c r="AC28" s="37" t="n">
        <v>0.26</v>
      </c>
      <c r="AD28" s="37" t="n">
        <v>0.25</v>
      </c>
      <c r="AE28" s="37" t="n">
        <v>0.18</v>
      </c>
    </row>
    <row r="29">
      <c r="A29" s="35" t="inlineStr">
        <is>
          <t>人民币20日涨跌幅</t>
        </is>
      </c>
      <c r="B29" s="37" t="n">
        <v>0.28</v>
      </c>
      <c r="C29" s="37" t="n">
        <v>0.51</v>
      </c>
      <c r="D29" s="37" t="n">
        <v>0.86</v>
      </c>
      <c r="E29" s="37" t="n">
        <v>0.96</v>
      </c>
      <c r="F29" s="37" t="n">
        <v>0.4</v>
      </c>
      <c r="G29" s="37" t="n">
        <v>0.28</v>
      </c>
      <c r="H29" s="37" t="n">
        <v>0.28</v>
      </c>
      <c r="I29" s="37" t="n">
        <v>0.55</v>
      </c>
      <c r="J29" s="37" t="n">
        <v>0.84</v>
      </c>
      <c r="K29" s="37" t="n">
        <v>0.91</v>
      </c>
      <c r="L29" s="37" t="n">
        <v>1.4</v>
      </c>
      <c r="M29" s="37" t="n">
        <v>1.06</v>
      </c>
      <c r="N29" s="37" t="n">
        <v>0.68</v>
      </c>
      <c r="O29" s="37" t="n">
        <v>0.92</v>
      </c>
      <c r="P29" s="37" t="n">
        <v>0.52</v>
      </c>
      <c r="Q29" s="37" t="n">
        <v>-0.15</v>
      </c>
      <c r="R29" s="37" t="n">
        <v>-0.13</v>
      </c>
      <c r="S29" s="37" t="n">
        <v>-0.34</v>
      </c>
      <c r="T29" s="37" t="n">
        <v>0.03</v>
      </c>
      <c r="U29" s="37" t="n">
        <v>0.05</v>
      </c>
      <c r="V29" s="37" t="n">
        <v>-0.12</v>
      </c>
      <c r="W29" s="37" t="n">
        <v>0.04</v>
      </c>
      <c r="X29" s="37" t="n">
        <v>0.03</v>
      </c>
      <c r="Y29" s="37" t="n">
        <v>-0.35</v>
      </c>
      <c r="Z29" s="37" t="n">
        <v>0.13</v>
      </c>
      <c r="AA29" s="37" t="n">
        <v>0.12</v>
      </c>
      <c r="AB29" s="37" t="n">
        <v>-0.18</v>
      </c>
      <c r="AC29" s="37" t="n">
        <v>0.06</v>
      </c>
      <c r="AD29" s="37" t="n">
        <v>-0.1</v>
      </c>
      <c r="AE29" s="37" t="n">
        <v>-0.21</v>
      </c>
    </row>
    <row r="30">
      <c r="A30" s="35" t="inlineStr">
        <is>
          <t>人民币60日涨跌幅</t>
        </is>
      </c>
      <c r="B30" s="37" t="n">
        <v>-1.28</v>
      </c>
      <c r="C30" s="37" t="n">
        <v>-1.31</v>
      </c>
      <c r="D30" s="37" t="n">
        <v>-1.38</v>
      </c>
      <c r="E30" s="37" t="n">
        <v>-1.92</v>
      </c>
      <c r="F30" s="37" t="n">
        <v>-2.11</v>
      </c>
      <c r="G30" s="37" t="n">
        <v>-2.47</v>
      </c>
      <c r="H30" s="37" t="n">
        <v>-2.16</v>
      </c>
      <c r="I30" s="37" t="n">
        <v>-1.91</v>
      </c>
      <c r="J30" s="37" t="n">
        <v>-1.67</v>
      </c>
      <c r="K30" s="37" t="n">
        <v>-1.55</v>
      </c>
      <c r="L30" s="37" t="n">
        <v>-1.24</v>
      </c>
      <c r="M30" s="37" t="n">
        <v>-1.26</v>
      </c>
      <c r="N30" s="37" t="n">
        <v>-1.95</v>
      </c>
      <c r="O30" s="37" t="n">
        <v>-1.99</v>
      </c>
      <c r="P30" s="37" t="n">
        <v>-2.1</v>
      </c>
      <c r="Q30" s="37" t="n">
        <v>-1.95</v>
      </c>
      <c r="R30" s="37" t="n">
        <v>-1.7</v>
      </c>
      <c r="S30" s="37" t="n">
        <v>-2.06</v>
      </c>
      <c r="T30" s="37" t="n">
        <v>-1.97</v>
      </c>
      <c r="U30" s="37" t="n">
        <v>-1.69</v>
      </c>
      <c r="V30" s="37" t="n">
        <v>-1.67</v>
      </c>
      <c r="W30" s="37" t="n">
        <v>-1.93</v>
      </c>
      <c r="X30" s="37" t="n">
        <v>-2.31</v>
      </c>
      <c r="Y30" s="37" t="n">
        <v>-2.81</v>
      </c>
      <c r="Z30" s="37" t="n">
        <v>-2.2</v>
      </c>
      <c r="AA30" s="37" t="n">
        <v>-2.39</v>
      </c>
      <c r="AB30" s="37" t="n">
        <v>-2.09</v>
      </c>
      <c r="AC30" s="37" t="n">
        <v>-2.2</v>
      </c>
      <c r="AD30" s="37" t="n">
        <v>-2.25</v>
      </c>
      <c r="AE30" s="37" t="n">
        <v>-2.11</v>
      </c>
    </row>
    <row r="31">
      <c r="A31" s="35" t="inlineStr">
        <is>
          <t>北向日净买</t>
        </is>
      </c>
      <c r="B31" s="37" t="n">
        <v>37.01</v>
      </c>
      <c r="C31" s="37" t="n">
        <v>17.42</v>
      </c>
      <c r="D31" s="37" t="n">
        <v>-5.92</v>
      </c>
      <c r="E31" s="37" t="n">
        <v>15.1</v>
      </c>
      <c r="F31" s="37" t="n">
        <v>62.94</v>
      </c>
      <c r="G31" s="37" t="n">
        <v>-5.39</v>
      </c>
      <c r="H31" s="37" t="n">
        <v>37.9</v>
      </c>
      <c r="I31" s="37" t="n">
        <v>10.47</v>
      </c>
      <c r="J31" s="37" t="n">
        <v>-52.09</v>
      </c>
      <c r="K31" s="37" t="n">
        <v>-7.41</v>
      </c>
      <c r="L31" s="37" t="n">
        <v>-130.57</v>
      </c>
      <c r="M31" s="37" t="n">
        <v>-41.33</v>
      </c>
      <c r="N31" s="37" t="n">
        <v>-3.55</v>
      </c>
      <c r="O31" s="37" t="n">
        <v>-30.32</v>
      </c>
      <c r="P31" s="37" t="n">
        <v>42.31</v>
      </c>
      <c r="Q31" s="37" t="n">
        <v>6.9</v>
      </c>
      <c r="R31" s="37" t="n">
        <v>0.19</v>
      </c>
      <c r="S31" s="37" t="n">
        <v>-43.47</v>
      </c>
      <c r="T31" s="37" t="n">
        <v>19.92</v>
      </c>
      <c r="U31" s="37" t="n">
        <v>-39.36</v>
      </c>
      <c r="V31" s="37" t="n">
        <v>16.89</v>
      </c>
      <c r="W31" s="37" t="n">
        <v>-52.69</v>
      </c>
      <c r="X31" s="37" t="n">
        <v>-5.66</v>
      </c>
      <c r="Y31" s="37" t="n">
        <v>135.58</v>
      </c>
      <c r="Z31" s="37" t="n">
        <v>56.78</v>
      </c>
      <c r="AA31" s="37" t="n">
        <v>0</v>
      </c>
      <c r="AB31" s="37" t="n">
        <v>0</v>
      </c>
      <c r="AC31" s="37" t="n">
        <v>-25.11</v>
      </c>
      <c r="AD31" s="37" t="n">
        <v>12.03</v>
      </c>
      <c r="AE31" s="37" t="n">
        <v>-15.42</v>
      </c>
    </row>
    <row r="32">
      <c r="A32" s="35" t="inlineStr">
        <is>
          <t>北向累计净买</t>
        </is>
      </c>
      <c r="B32" s="37" t="n">
        <v>17537.96</v>
      </c>
      <c r="C32" s="37" t="n">
        <v>17500.95</v>
      </c>
      <c r="D32" s="37" t="n">
        <v>17483.53</v>
      </c>
      <c r="E32" s="37" t="n">
        <v>17489.45</v>
      </c>
      <c r="F32" s="37" t="n">
        <v>17474.35</v>
      </c>
      <c r="G32" s="37" t="n">
        <v>17411.41</v>
      </c>
      <c r="H32" s="37" t="n">
        <v>17416.8</v>
      </c>
      <c r="I32" s="37" t="n">
        <v>17378.9</v>
      </c>
      <c r="J32" s="37" t="n">
        <v>17368.43</v>
      </c>
      <c r="K32" s="37" t="n">
        <v>17420.52</v>
      </c>
      <c r="L32" s="37" t="n">
        <v>17427.93</v>
      </c>
      <c r="M32" s="37" t="n">
        <v>17558.49</v>
      </c>
      <c r="N32" s="37" t="n">
        <v>17599.82</v>
      </c>
      <c r="O32" s="37" t="n">
        <v>17603.37</v>
      </c>
      <c r="P32" s="37" t="n">
        <v>17633.69</v>
      </c>
      <c r="Q32" s="37" t="n">
        <v>17591.38</v>
      </c>
      <c r="R32" s="37" t="n">
        <v>17584.49</v>
      </c>
      <c r="S32" s="37" t="n">
        <v>17584.3</v>
      </c>
      <c r="T32" s="37" t="n">
        <v>17627.77</v>
      </c>
      <c r="U32" s="37" t="n">
        <v>17607.85</v>
      </c>
      <c r="V32" s="37" t="n">
        <v>17647.21</v>
      </c>
      <c r="W32" s="37" t="n">
        <v>17630.32</v>
      </c>
      <c r="X32" s="37" t="n">
        <v>17683.02</v>
      </c>
      <c r="Y32" s="37" t="n">
        <v>17688.68</v>
      </c>
      <c r="Z32" s="37" t="n">
        <v>17553.09</v>
      </c>
      <c r="AA32" s="37" t="n">
        <v>0</v>
      </c>
      <c r="AB32" s="37" t="n">
        <v>0</v>
      </c>
      <c r="AC32" s="37" t="n">
        <v>17496.31</v>
      </c>
      <c r="AD32" s="37" t="n">
        <v>17521.42</v>
      </c>
      <c r="AE32" s="37" t="n">
        <v>17509.4</v>
      </c>
    </row>
    <row r="33">
      <c r="A33" s="43" t="inlineStr">
        <is>
          <t>新高数60d</t>
        </is>
      </c>
      <c r="B33" s="37" t="n">
        <v>38</v>
      </c>
      <c r="C33" s="37" t="n">
        <v>27</v>
      </c>
      <c r="D33" s="37" t="n">
        <v>103</v>
      </c>
      <c r="E33" s="37" t="n">
        <v>132</v>
      </c>
      <c r="F33" s="37" t="n">
        <v>120</v>
      </c>
      <c r="G33" s="37" t="n">
        <v>62</v>
      </c>
      <c r="H33" s="37" t="n">
        <v>26</v>
      </c>
      <c r="I33" s="37" t="n">
        <v>19</v>
      </c>
      <c r="J33" s="37" t="n">
        <v>46</v>
      </c>
      <c r="K33" s="37" t="n">
        <v>68</v>
      </c>
      <c r="L33" s="37" t="n">
        <v>61</v>
      </c>
      <c r="M33" s="37" t="n">
        <v>141</v>
      </c>
      <c r="N33" s="37" t="n">
        <v>149</v>
      </c>
      <c r="O33" s="37" t="n">
        <v>98</v>
      </c>
      <c r="P33" s="37" t="n">
        <v>102</v>
      </c>
      <c r="Q33" s="37" t="n">
        <v>76</v>
      </c>
      <c r="R33" s="37" t="n">
        <v>111</v>
      </c>
      <c r="S33" s="37" t="n">
        <v>56</v>
      </c>
      <c r="T33" s="37" t="n">
        <v>84</v>
      </c>
      <c r="U33" s="37" t="n">
        <v>232</v>
      </c>
      <c r="V33" s="37" t="n">
        <v>236</v>
      </c>
      <c r="W33" s="37" t="n">
        <v>314</v>
      </c>
      <c r="X33" s="37" t="n">
        <v>252</v>
      </c>
      <c r="Y33" s="37" t="n">
        <v>129</v>
      </c>
      <c r="Z33" s="37" t="n">
        <v>89</v>
      </c>
      <c r="AA33" s="37" t="n">
        <v>67</v>
      </c>
      <c r="AB33" s="37" t="n">
        <v>89</v>
      </c>
      <c r="AC33" s="37" t="n">
        <v>73</v>
      </c>
      <c r="AD33" s="37" t="n">
        <v>119</v>
      </c>
      <c r="AE33" s="37" t="n">
        <v>93</v>
      </c>
    </row>
    <row r="34">
      <c r="A34" s="43" t="inlineStr">
        <is>
          <t>新低数60d</t>
        </is>
      </c>
      <c r="B34" s="37" t="n">
        <v>3749</v>
      </c>
      <c r="C34" s="37" t="n">
        <v>2673</v>
      </c>
      <c r="D34" s="37" t="n">
        <v>1243</v>
      </c>
      <c r="E34" s="37" t="n">
        <v>256</v>
      </c>
      <c r="F34" s="37" t="n">
        <v>31</v>
      </c>
      <c r="G34" s="37" t="n">
        <v>532</v>
      </c>
      <c r="H34" s="37" t="n">
        <v>1976</v>
      </c>
      <c r="I34" s="37" t="n">
        <v>4042</v>
      </c>
      <c r="J34" s="37" t="n">
        <v>2680</v>
      </c>
      <c r="K34" s="37" t="n">
        <v>2123</v>
      </c>
      <c r="L34" s="37" t="n">
        <v>2270</v>
      </c>
      <c r="M34" s="37" t="n">
        <v>963</v>
      </c>
      <c r="N34" s="37" t="n">
        <v>518</v>
      </c>
      <c r="O34" s="37" t="n">
        <v>338</v>
      </c>
      <c r="P34" s="37" t="n">
        <v>83</v>
      </c>
      <c r="Q34" s="37" t="n">
        <v>1015</v>
      </c>
      <c r="R34" s="37" t="n">
        <v>557</v>
      </c>
      <c r="S34" s="37" t="n">
        <v>1203</v>
      </c>
      <c r="T34" s="37" t="n">
        <v>512</v>
      </c>
      <c r="U34" s="37" t="n">
        <v>203</v>
      </c>
      <c r="V34" s="37" t="n">
        <v>118</v>
      </c>
      <c r="W34" s="37" t="n">
        <v>54</v>
      </c>
      <c r="X34" s="37" t="n">
        <v>29</v>
      </c>
      <c r="Y34" s="37" t="n">
        <v>34</v>
      </c>
      <c r="Z34" s="37" t="n">
        <v>386</v>
      </c>
      <c r="AA34" s="37" t="n">
        <v>1270</v>
      </c>
      <c r="AB34" s="37" t="n">
        <v>783</v>
      </c>
      <c r="AC34" s="37" t="n">
        <v>720</v>
      </c>
      <c r="AD34" s="37" t="n">
        <v>286</v>
      </c>
      <c r="AE34" s="37" t="n">
        <v>966</v>
      </c>
    </row>
    <row r="35">
      <c r="A35" s="35" t="inlineStr">
        <is>
          <t>新高数60d(zz500)</t>
        </is>
      </c>
      <c r="B35" s="37" t="n">
        <v>6</v>
      </c>
      <c r="C35" s="37" t="n">
        <v>3</v>
      </c>
      <c r="D35" s="37" t="n">
        <v>20</v>
      </c>
      <c r="E35" s="37" t="n">
        <v>17</v>
      </c>
      <c r="F35" s="37" t="n">
        <v>17</v>
      </c>
      <c r="G35" s="37" t="n">
        <v>6</v>
      </c>
      <c r="H35" s="37" t="n">
        <v>3</v>
      </c>
      <c r="I35" s="37" t="n">
        <v>0</v>
      </c>
      <c r="J35" s="37" t="n">
        <v>1</v>
      </c>
      <c r="K35" s="37" t="n">
        <v>4</v>
      </c>
      <c r="L35" s="37" t="n">
        <v>2</v>
      </c>
      <c r="M35" s="37" t="n">
        <v>17</v>
      </c>
      <c r="N35" s="37" t="n">
        <v>18</v>
      </c>
      <c r="O35" s="37" t="n">
        <v>12</v>
      </c>
      <c r="P35" s="37" t="n">
        <v>11</v>
      </c>
      <c r="Q35" s="37" t="n">
        <v>12</v>
      </c>
      <c r="R35" s="37" t="n">
        <v>15</v>
      </c>
      <c r="S35" s="37" t="n">
        <v>5</v>
      </c>
      <c r="T35" s="37" t="n">
        <v>17</v>
      </c>
      <c r="U35" s="37" t="n">
        <v>31</v>
      </c>
      <c r="V35" s="37" t="n">
        <v>36</v>
      </c>
      <c r="W35" s="37" t="n">
        <v>35</v>
      </c>
      <c r="X35" s="37" t="n">
        <v>18</v>
      </c>
      <c r="Y35" s="37" t="n">
        <v>12</v>
      </c>
      <c r="Z35" s="37" t="n">
        <v>8</v>
      </c>
      <c r="AA35" s="37" t="n">
        <v>6</v>
      </c>
      <c r="AB35" s="37" t="n">
        <v>12</v>
      </c>
      <c r="AC35" s="37" t="n">
        <v>9</v>
      </c>
      <c r="AD35" s="37" t="n">
        <v>8</v>
      </c>
      <c r="AE35" s="37" t="n">
        <v>5</v>
      </c>
    </row>
    <row r="36">
      <c r="A36" s="43" t="inlineStr">
        <is>
          <t>新低数60d(zz500)</t>
        </is>
      </c>
      <c r="B36" s="37" t="n">
        <v>251</v>
      </c>
      <c r="C36" s="37" t="n">
        <v>169</v>
      </c>
      <c r="D36" s="37" t="n">
        <v>110</v>
      </c>
      <c r="E36" s="37" t="n">
        <v>43</v>
      </c>
      <c r="F36" s="37" t="n">
        <v>3</v>
      </c>
      <c r="G36" s="37" t="n">
        <v>27</v>
      </c>
      <c r="H36" s="37" t="n">
        <v>46</v>
      </c>
      <c r="I36" s="37" t="n">
        <v>381</v>
      </c>
      <c r="J36" s="37" t="n">
        <v>211</v>
      </c>
      <c r="K36" s="37" t="n">
        <v>169</v>
      </c>
      <c r="L36" s="37" t="n">
        <v>234</v>
      </c>
      <c r="M36" s="37" t="n">
        <v>98</v>
      </c>
      <c r="N36" s="37" t="n">
        <v>65</v>
      </c>
      <c r="O36" s="37" t="n">
        <v>45</v>
      </c>
      <c r="P36" s="37" t="n">
        <v>17</v>
      </c>
      <c r="Q36" s="37" t="n">
        <v>127</v>
      </c>
      <c r="R36" s="37" t="n">
        <v>103</v>
      </c>
      <c r="S36" s="37" t="n">
        <v>200</v>
      </c>
      <c r="T36" s="37" t="n">
        <v>85</v>
      </c>
      <c r="U36" s="37" t="n">
        <v>45</v>
      </c>
      <c r="V36" s="37" t="n">
        <v>22</v>
      </c>
      <c r="W36" s="37" t="n">
        <v>13</v>
      </c>
      <c r="X36" s="37" t="n">
        <v>8</v>
      </c>
      <c r="Y36" s="37" t="n">
        <v>7</v>
      </c>
      <c r="Z36" s="37" t="n">
        <v>75</v>
      </c>
      <c r="AA36" s="37" t="n">
        <v>151</v>
      </c>
      <c r="AB36" s="37" t="n">
        <v>101</v>
      </c>
      <c r="AC36" s="37" t="n">
        <v>96</v>
      </c>
      <c r="AD36" s="37" t="n">
        <v>66</v>
      </c>
      <c r="AE36" s="37" t="n">
        <v>187</v>
      </c>
    </row>
    <row r="37">
      <c r="A37" s="35" t="inlineStr">
        <is>
          <t>奇货股指(qhkch)</t>
        </is>
      </c>
      <c r="B37" s="37" t="n">
        <v>2324</v>
      </c>
      <c r="C37" s="37" t="n">
        <v>2377</v>
      </c>
      <c r="D37" s="37" t="n">
        <v>2439</v>
      </c>
      <c r="E37" s="37" t="n">
        <v>2488</v>
      </c>
      <c r="F37" s="37" t="n">
        <v>2515</v>
      </c>
      <c r="G37" s="37" t="n">
        <v>2432</v>
      </c>
      <c r="H37" s="37" t="n">
        <v>2387</v>
      </c>
      <c r="I37" s="37" t="n">
        <v>2318</v>
      </c>
      <c r="J37" s="37" t="n">
        <v>2448</v>
      </c>
      <c r="K37" s="37" t="n">
        <v>2456</v>
      </c>
      <c r="L37" s="37" t="n">
        <v>2446</v>
      </c>
      <c r="M37" s="37" t="n">
        <v>2528</v>
      </c>
      <c r="N37" s="37" t="n">
        <v>2527</v>
      </c>
      <c r="O37" s="37" t="n">
        <v>2535</v>
      </c>
      <c r="P37" s="37" t="n">
        <v>2548</v>
      </c>
      <c r="Q37" s="37" t="n">
        <v>2513</v>
      </c>
      <c r="R37" s="37" t="n">
        <v>2523</v>
      </c>
      <c r="S37" s="37" t="n">
        <v>2512</v>
      </c>
      <c r="T37" s="37" t="n">
        <v>2581</v>
      </c>
      <c r="U37" s="37" t="n">
        <v>2612</v>
      </c>
      <c r="V37" s="37" t="n">
        <v>2635</v>
      </c>
      <c r="W37" s="37" t="n">
        <v>2641</v>
      </c>
      <c r="X37" s="37" t="n">
        <v>2670</v>
      </c>
      <c r="Y37" s="37" t="n">
        <v>2649</v>
      </c>
      <c r="Z37" s="37" t="n">
        <v>2587</v>
      </c>
      <c r="AA37" s="37" t="n">
        <v>2579</v>
      </c>
      <c r="AB37" s="37" t="n">
        <v>2602</v>
      </c>
      <c r="AC37" s="37" t="n">
        <v>2603</v>
      </c>
      <c r="AD37" s="37" t="n">
        <v>2609</v>
      </c>
      <c r="AE37" s="37" t="n">
        <v>2593</v>
      </c>
    </row>
    <row r="38">
      <c r="A38" s="35" t="inlineStr">
        <is>
          <t>股指持仓市值(亿)</t>
        </is>
      </c>
      <c r="B38" s="37" t="n">
        <v>14974.14</v>
      </c>
      <c r="C38" s="37" t="n">
        <v>14890.9</v>
      </c>
      <c r="D38" s="37" t="n">
        <v>15087.16</v>
      </c>
      <c r="E38" s="37" t="n">
        <v>15217.87</v>
      </c>
      <c r="F38" s="37" t="n">
        <v>15489.19</v>
      </c>
      <c r="G38" s="37" t="n">
        <v>15032.5</v>
      </c>
      <c r="H38" s="37" t="n">
        <v>14590</v>
      </c>
      <c r="I38" s="37" t="n">
        <v>14356.87</v>
      </c>
      <c r="J38" s="37" t="n">
        <v>14856.9</v>
      </c>
      <c r="K38" s="37" t="n">
        <v>15955.38</v>
      </c>
      <c r="L38" s="37" t="n">
        <v>15598.33</v>
      </c>
      <c r="M38" s="37" t="n">
        <v>15876.71</v>
      </c>
      <c r="N38" s="37" t="n">
        <v>15607.39</v>
      </c>
      <c r="O38" s="37" t="n">
        <v>15307.44</v>
      </c>
      <c r="P38" s="37" t="n">
        <v>15744.86</v>
      </c>
      <c r="Q38" s="37" t="n">
        <v>15499.59</v>
      </c>
      <c r="R38" s="37" t="n">
        <v>15201.31</v>
      </c>
      <c r="S38" s="37" t="n">
        <v>15688.01</v>
      </c>
      <c r="T38" s="37" t="n">
        <v>15392.4</v>
      </c>
      <c r="U38" s="37" t="n">
        <v>15258.68</v>
      </c>
      <c r="V38" s="37" t="n">
        <v>15271.71</v>
      </c>
      <c r="W38" s="37" t="n">
        <v>15388.68</v>
      </c>
      <c r="X38" s="37" t="n">
        <v>15733.86</v>
      </c>
      <c r="Y38" s="37" t="n">
        <v>16214.72</v>
      </c>
      <c r="Z38" s="37" t="n">
        <v>15408.21</v>
      </c>
      <c r="AA38" s="37" t="n">
        <v>15309.28</v>
      </c>
      <c r="AB38" s="37" t="n">
        <v>15213.51</v>
      </c>
      <c r="AC38" s="37" t="n">
        <v>15647.68</v>
      </c>
      <c r="AD38" s="37" t="n">
        <v>15840.25</v>
      </c>
      <c r="AE38" s="37" t="n">
        <v>15174.13</v>
      </c>
    </row>
    <row r="39">
      <c r="A39" s="35" t="inlineStr">
        <is>
          <t>多空比</t>
        </is>
      </c>
      <c r="B39" s="37" t="n">
        <v>46.13</v>
      </c>
      <c r="C39" s="37" t="n">
        <v>46.18</v>
      </c>
      <c r="D39" s="37" t="n">
        <v>46.22</v>
      </c>
      <c r="E39" s="37" t="n">
        <v>46.26</v>
      </c>
      <c r="F39" s="37" t="n">
        <v>46.33</v>
      </c>
      <c r="G39" s="37" t="n">
        <v>46.21</v>
      </c>
      <c r="H39" s="37" t="n">
        <v>46.26</v>
      </c>
      <c r="I39" s="37" t="n">
        <v>46.15</v>
      </c>
      <c r="J39" s="37" t="n">
        <v>46.41</v>
      </c>
      <c r="K39" s="37" t="n">
        <v>46.69</v>
      </c>
      <c r="L39" s="37" t="n">
        <v>46.3</v>
      </c>
      <c r="M39" s="37" t="n">
        <v>46.49</v>
      </c>
      <c r="N39" s="37" t="n">
        <v>46.44</v>
      </c>
      <c r="O39" s="37" t="n">
        <v>46.44</v>
      </c>
      <c r="P39" s="37" t="n">
        <v>46.49</v>
      </c>
      <c r="Q39" s="37" t="n">
        <v>46.5</v>
      </c>
      <c r="R39" s="37" t="n">
        <v>46.54</v>
      </c>
      <c r="S39" s="37" t="n">
        <v>46.54</v>
      </c>
      <c r="T39" s="37" t="n">
        <v>46.35</v>
      </c>
      <c r="U39" s="37" t="n">
        <v>46.11</v>
      </c>
      <c r="V39" s="37" t="n">
        <v>46.04</v>
      </c>
      <c r="W39" s="37" t="n">
        <v>46.02</v>
      </c>
      <c r="X39" s="37" t="n">
        <v>46.06</v>
      </c>
      <c r="Y39" s="37" t="n">
        <v>46.1</v>
      </c>
      <c r="Z39" s="37" t="n">
        <v>46.3</v>
      </c>
      <c r="AA39" s="37" t="n">
        <v>46.26</v>
      </c>
      <c r="AB39" s="37" t="n">
        <v>46.22</v>
      </c>
      <c r="AC39" s="37" t="n">
        <v>46.45</v>
      </c>
      <c r="AD39" s="37" t="n">
        <v>46.41</v>
      </c>
      <c r="AE39" s="37" t="n">
        <v>46.48</v>
      </c>
    </row>
    <row r="40">
      <c r="A40" s="44" t="inlineStr">
        <is>
          <t>多空差(亿)</t>
        </is>
      </c>
      <c r="B40" s="37" t="n">
        <v>-1159.37</v>
      </c>
      <c r="C40" s="37" t="n">
        <v>-1138.89</v>
      </c>
      <c r="D40" s="37" t="n">
        <v>-1140.44</v>
      </c>
      <c r="E40" s="37" t="n">
        <v>-1138.9</v>
      </c>
      <c r="F40" s="37" t="n">
        <v>-1138.35</v>
      </c>
      <c r="G40" s="37" t="n">
        <v>-1139.34</v>
      </c>
      <c r="H40" s="37" t="n">
        <v>-1092.16</v>
      </c>
      <c r="I40" s="37" t="n">
        <v>-1104.42</v>
      </c>
      <c r="J40" s="37" t="n">
        <v>-1067.91</v>
      </c>
      <c r="K40" s="37" t="n">
        <v>-1055.93</v>
      </c>
      <c r="L40" s="37" t="n">
        <v>-1153.3</v>
      </c>
      <c r="M40" s="37" t="n">
        <v>-1113.49</v>
      </c>
      <c r="N40" s="37" t="n">
        <v>-1112.68</v>
      </c>
      <c r="O40" s="37" t="n">
        <v>-1089.23</v>
      </c>
      <c r="P40" s="37" t="n">
        <v>-1103.72</v>
      </c>
      <c r="Q40" s="37" t="n">
        <v>-1084.4</v>
      </c>
      <c r="R40" s="37" t="n">
        <v>-1052.52</v>
      </c>
      <c r="S40" s="37" t="n">
        <v>-1086.71</v>
      </c>
      <c r="T40" s="37" t="n">
        <v>-1123.32</v>
      </c>
      <c r="U40" s="37" t="n">
        <v>-1188.02</v>
      </c>
      <c r="V40" s="37" t="n">
        <v>-1208.17</v>
      </c>
      <c r="W40" s="37" t="n">
        <v>-1225.69</v>
      </c>
      <c r="X40" s="37" t="n">
        <v>-1241.26</v>
      </c>
      <c r="Y40" s="37" t="n">
        <v>-1265.06</v>
      </c>
      <c r="Z40" s="37" t="n">
        <v>-1138.77</v>
      </c>
      <c r="AA40" s="37" t="n">
        <v>-1144.25</v>
      </c>
      <c r="AB40" s="37" t="n">
        <v>-1149.01</v>
      </c>
      <c r="AC40" s="37" t="n">
        <v>-1112.16</v>
      </c>
      <c r="AD40" s="37" t="n">
        <v>-1137.09</v>
      </c>
      <c r="AE40" s="37" t="n">
        <v>-1068.15</v>
      </c>
    </row>
    <row r="41">
      <c r="A41" s="35" t="inlineStr">
        <is>
          <t>沪深300当月空单</t>
        </is>
      </c>
      <c r="B41" s="37" t="n">
        <v>14030</v>
      </c>
      <c r="C41" s="37" t="n">
        <v>13599</v>
      </c>
      <c r="D41" s="37" t="n">
        <v>13493</v>
      </c>
      <c r="E41" s="37" t="n">
        <v>13733</v>
      </c>
      <c r="F41" s="37" t="n">
        <v>13044</v>
      </c>
      <c r="G41" s="37" t="n">
        <v>12290</v>
      </c>
      <c r="H41" s="37" t="n">
        <v>12996</v>
      </c>
      <c r="I41" s="37" t="n">
        <v>12052</v>
      </c>
      <c r="J41" s="37" t="n">
        <v>11290</v>
      </c>
      <c r="K41" s="37" t="n">
        <v>8100</v>
      </c>
      <c r="L41" s="37" t="n">
        <v>10791</v>
      </c>
      <c r="M41" s="37" t="n">
        <v>11949</v>
      </c>
      <c r="N41" s="37" t="n">
        <v>14676</v>
      </c>
      <c r="O41" s="37" t="n">
        <v>14946</v>
      </c>
      <c r="P41" s="37" t="n">
        <v>15465</v>
      </c>
      <c r="Q41" s="37" t="n">
        <v>13331</v>
      </c>
      <c r="R41" s="37" t="n">
        <v>13447</v>
      </c>
      <c r="S41" s="37" t="n">
        <v>17023</v>
      </c>
      <c r="T41" s="37" t="n">
        <v>17790</v>
      </c>
      <c r="U41" s="37" t="n">
        <v>19441</v>
      </c>
      <c r="V41" s="37" t="n">
        <v>19626</v>
      </c>
      <c r="W41" s="37" t="n">
        <v>21801</v>
      </c>
      <c r="X41" s="37" t="n">
        <v>22861</v>
      </c>
      <c r="Y41" s="37" t="n">
        <v>26033</v>
      </c>
      <c r="Z41" s="37" t="n">
        <v>20568</v>
      </c>
      <c r="AA41" s="37" t="n">
        <v>23114</v>
      </c>
      <c r="AB41" s="37" t="n">
        <v>22953</v>
      </c>
      <c r="AC41" s="37" t="n">
        <v>21093</v>
      </c>
      <c r="AD41" s="37" t="n">
        <v>25222</v>
      </c>
      <c r="AE41" s="37" t="n">
        <v>21675</v>
      </c>
    </row>
    <row r="42">
      <c r="A42" s="35" t="inlineStr">
        <is>
          <t>沪深300当月多单</t>
        </is>
      </c>
      <c r="B42" s="37" t="n">
        <v>-1360</v>
      </c>
      <c r="C42" s="37" t="n">
        <v>-1299</v>
      </c>
      <c r="D42" s="37" t="n">
        <v>-1058</v>
      </c>
      <c r="E42" s="37" t="n">
        <v>-1535</v>
      </c>
      <c r="F42" s="37" t="n">
        <v>-2904</v>
      </c>
      <c r="G42" s="37" t="n">
        <v>-4814</v>
      </c>
      <c r="H42" s="37" t="n">
        <v>-3847</v>
      </c>
      <c r="I42" s="37" t="n">
        <v>-2691</v>
      </c>
      <c r="J42" s="37" t="n">
        <v>-4317</v>
      </c>
      <c r="K42" s="37" t="n">
        <v>-2792</v>
      </c>
      <c r="L42" s="37" t="n">
        <v>-506</v>
      </c>
      <c r="M42" s="37" t="n">
        <v>1018</v>
      </c>
      <c r="N42" s="37" t="n">
        <v>-238</v>
      </c>
      <c r="O42" s="37" t="n">
        <v>-2340</v>
      </c>
      <c r="P42" s="37" t="n">
        <v>-2654</v>
      </c>
      <c r="Q42" s="37" t="n">
        <v>-3749</v>
      </c>
      <c r="R42" s="37" t="n">
        <v>-6108</v>
      </c>
      <c r="S42" s="37" t="n">
        <v>-4934</v>
      </c>
      <c r="T42" s="37" t="n">
        <v>-4424</v>
      </c>
      <c r="U42" s="37" t="n">
        <v>-5189</v>
      </c>
      <c r="V42" s="37" t="n">
        <v>-4950</v>
      </c>
      <c r="W42" s="37" t="n">
        <v>-3444</v>
      </c>
      <c r="X42" s="37" t="n">
        <v>-4315</v>
      </c>
      <c r="Y42" s="37" t="n">
        <v>-3496</v>
      </c>
      <c r="Z42" s="37" t="n">
        <v>-4804</v>
      </c>
      <c r="AA42" s="37" t="n">
        <v>-4144</v>
      </c>
      <c r="AB42" s="37" t="n">
        <v>-3721</v>
      </c>
      <c r="AC42" s="37" t="n">
        <v>-4707</v>
      </c>
      <c r="AD42" s="37" t="n">
        <v>-4642</v>
      </c>
      <c r="AE42" s="37" t="n">
        <v>-5318</v>
      </c>
    </row>
    <row r="43">
      <c r="A43" s="35" t="inlineStr">
        <is>
          <t>沪深300累计空单</t>
        </is>
      </c>
      <c r="B43" s="37" t="n">
        <v>61504</v>
      </c>
      <c r="C43" s="37" t="n">
        <v>71663</v>
      </c>
      <c r="D43" s="37" t="n">
        <v>59655</v>
      </c>
      <c r="E43" s="37" t="n">
        <v>62320</v>
      </c>
      <c r="F43" s="37" t="n">
        <v>58998</v>
      </c>
      <c r="G43" s="37" t="n">
        <v>62153</v>
      </c>
      <c r="H43" s="37" t="n">
        <v>65209</v>
      </c>
      <c r="I43" s="37" t="n">
        <v>63398</v>
      </c>
      <c r="J43" s="37" t="n">
        <v>65185</v>
      </c>
      <c r="K43" s="37" t="n">
        <v>68191</v>
      </c>
      <c r="L43" s="37" t="n">
        <v>72387</v>
      </c>
      <c r="M43" s="37" t="n">
        <v>67227</v>
      </c>
      <c r="N43" s="37" t="n">
        <v>72830</v>
      </c>
      <c r="O43" s="37" t="n">
        <v>71503</v>
      </c>
      <c r="P43" s="37" t="n">
        <v>67363</v>
      </c>
      <c r="Q43" s="37" t="n">
        <v>65779</v>
      </c>
      <c r="R43" s="37" t="n">
        <v>67911</v>
      </c>
      <c r="S43" s="37" t="n">
        <v>70584</v>
      </c>
      <c r="T43" s="37" t="n">
        <v>69526</v>
      </c>
      <c r="U43" s="37" t="n">
        <v>73062</v>
      </c>
      <c r="V43" s="37" t="n">
        <v>73769</v>
      </c>
      <c r="W43" s="37" t="n">
        <v>73186</v>
      </c>
      <c r="X43" s="37" t="n">
        <v>71928</v>
      </c>
      <c r="Y43" s="37" t="n">
        <v>77647</v>
      </c>
      <c r="Z43" s="37" t="n">
        <v>68015</v>
      </c>
      <c r="AA43" s="37" t="n">
        <v>68409</v>
      </c>
      <c r="AB43" s="37" t="n">
        <v>68329</v>
      </c>
      <c r="AC43" s="37" t="n">
        <v>69607</v>
      </c>
      <c r="AD43" s="37" t="n">
        <v>74077</v>
      </c>
      <c r="AE43" s="37" t="n">
        <v>73944</v>
      </c>
    </row>
    <row r="44">
      <c r="A44" s="35" t="inlineStr">
        <is>
          <t>沪深300累计多单</t>
        </is>
      </c>
      <c r="B44" s="37" t="n">
        <v>-36875</v>
      </c>
      <c r="C44" s="37" t="n">
        <v>-40187</v>
      </c>
      <c r="D44" s="37" t="n">
        <v>-39099</v>
      </c>
      <c r="E44" s="37" t="n">
        <v>-39637</v>
      </c>
      <c r="F44" s="37" t="n">
        <v>-35658</v>
      </c>
      <c r="G44" s="37" t="n">
        <v>-34235</v>
      </c>
      <c r="H44" s="37" t="n">
        <v>-24510</v>
      </c>
      <c r="I44" s="37" t="n">
        <v>-24578</v>
      </c>
      <c r="J44" s="37" t="n">
        <v>-20773</v>
      </c>
      <c r="K44" s="37" t="n">
        <v>-32975</v>
      </c>
      <c r="L44" s="37" t="n">
        <v>-34399</v>
      </c>
      <c r="M44" s="37" t="n">
        <v>-23917</v>
      </c>
      <c r="N44" s="37" t="n">
        <v>-22218</v>
      </c>
      <c r="O44" s="37" t="n">
        <v>-23299</v>
      </c>
      <c r="P44" s="37" t="n">
        <v>-23692</v>
      </c>
      <c r="Q44" s="37" t="n">
        <v>-23060</v>
      </c>
      <c r="R44" s="37" t="n">
        <v>-22480</v>
      </c>
      <c r="S44" s="37" t="n">
        <v>-22481</v>
      </c>
      <c r="T44" s="37" t="n">
        <v>-20150</v>
      </c>
      <c r="U44" s="37" t="n">
        <v>-21937</v>
      </c>
      <c r="V44" s="37" t="n">
        <v>-22839</v>
      </c>
      <c r="W44" s="37" t="n">
        <v>-20650</v>
      </c>
      <c r="X44" s="37" t="n">
        <v>-22316</v>
      </c>
      <c r="Y44" s="37" t="n">
        <v>-19684</v>
      </c>
      <c r="Z44" s="37" t="n">
        <v>-20692</v>
      </c>
      <c r="AA44" s="37" t="n">
        <v>-20623</v>
      </c>
      <c r="AB44" s="37" t="n">
        <v>-21559</v>
      </c>
      <c r="AC44" s="37" t="n">
        <v>-21267</v>
      </c>
      <c r="AD44" s="37" t="n">
        <v>-20977</v>
      </c>
      <c r="AE44" s="37" t="n">
        <v>-22684</v>
      </c>
    </row>
    <row r="45">
      <c r="A45" s="35" t="inlineStr">
        <is>
          <t>当月净空单</t>
        </is>
      </c>
      <c r="B45" s="37" t="n">
        <v>47341</v>
      </c>
      <c r="C45" s="37" t="n">
        <v>39065</v>
      </c>
      <c r="D45" s="37" t="n">
        <v>38280</v>
      </c>
      <c r="E45" s="37" t="n">
        <v>38256</v>
      </c>
      <c r="F45" s="37" t="n">
        <v>40716</v>
      </c>
      <c r="G45" s="37" t="n">
        <v>40134</v>
      </c>
      <c r="H45" s="37" t="n">
        <v>42208</v>
      </c>
      <c r="I45" s="37" t="n">
        <v>42012</v>
      </c>
      <c r="J45" s="37" t="n">
        <v>40624</v>
      </c>
      <c r="K45" s="37" t="n">
        <v>34154</v>
      </c>
      <c r="L45" s="37" t="n">
        <v>34997</v>
      </c>
      <c r="M45" s="37" t="n">
        <v>40172</v>
      </c>
      <c r="N45" s="37" t="n">
        <v>47655</v>
      </c>
      <c r="O45" s="37" t="n">
        <v>45650</v>
      </c>
      <c r="P45" s="37" t="n">
        <v>47484</v>
      </c>
      <c r="Q45" s="37" t="n">
        <v>49775</v>
      </c>
      <c r="R45" s="37" t="n">
        <v>47401</v>
      </c>
      <c r="S45" s="37" t="n">
        <v>51739</v>
      </c>
      <c r="T45" s="37" t="n">
        <v>53466</v>
      </c>
      <c r="U45" s="37" t="n">
        <v>57063</v>
      </c>
      <c r="V45" s="37" t="n">
        <v>60145</v>
      </c>
      <c r="W45" s="37" t="n">
        <v>63011</v>
      </c>
      <c r="X45" s="37" t="n">
        <v>63541</v>
      </c>
      <c r="Y45" s="37" t="n">
        <v>70306</v>
      </c>
      <c r="Z45" s="37" t="n">
        <v>63623</v>
      </c>
      <c r="AA45" s="37" t="n">
        <v>63717</v>
      </c>
      <c r="AB45" s="37" t="n">
        <v>61509</v>
      </c>
      <c r="AC45" s="37" t="n">
        <v>58760</v>
      </c>
      <c r="AD45" s="37" t="n">
        <v>62747</v>
      </c>
      <c r="AE45" s="37" t="n">
        <v>54762</v>
      </c>
    </row>
    <row r="46">
      <c r="A46" s="35" t="inlineStr">
        <is>
          <t>当月净多单</t>
        </is>
      </c>
      <c r="B46" s="37" t="n">
        <v>8979</v>
      </c>
      <c r="C46" s="37" t="n">
        <v>4538</v>
      </c>
      <c r="D46" s="37" t="n">
        <v>5226</v>
      </c>
      <c r="E46" s="37" t="n">
        <v>4264</v>
      </c>
      <c r="F46" s="37" t="n">
        <v>5995</v>
      </c>
      <c r="G46" s="37" t="n">
        <v>481</v>
      </c>
      <c r="H46" s="37" t="n">
        <v>6227</v>
      </c>
      <c r="I46" s="37" t="n">
        <v>877</v>
      </c>
      <c r="J46" s="37" t="n">
        <v>6003</v>
      </c>
      <c r="K46" s="37" t="n">
        <v>6829</v>
      </c>
      <c r="L46" s="37" t="n">
        <v>14324</v>
      </c>
      <c r="M46" s="37" t="n">
        <v>11839</v>
      </c>
      <c r="N46" s="37" t="n">
        <v>13957</v>
      </c>
      <c r="O46" s="37" t="n">
        <v>12134</v>
      </c>
      <c r="P46" s="37" t="n">
        <v>10328</v>
      </c>
      <c r="Q46" s="37" t="n">
        <v>12078</v>
      </c>
      <c r="R46" s="37" t="n">
        <v>12052</v>
      </c>
      <c r="S46" s="37" t="n">
        <v>10772</v>
      </c>
      <c r="T46" s="37" t="n">
        <v>18398</v>
      </c>
      <c r="U46" s="37" t="n">
        <v>18363</v>
      </c>
      <c r="V46" s="37" t="n">
        <v>19455</v>
      </c>
      <c r="W46" s="37" t="n">
        <v>16471</v>
      </c>
      <c r="X46" s="37" t="n">
        <v>17370</v>
      </c>
      <c r="Y46" s="37" t="n">
        <v>17188</v>
      </c>
      <c r="Z46" s="37" t="n">
        <v>17870</v>
      </c>
      <c r="AA46" s="37" t="n">
        <v>14517</v>
      </c>
      <c r="AB46" s="37" t="n">
        <v>13499</v>
      </c>
      <c r="AC46" s="37" t="n">
        <v>13343</v>
      </c>
      <c r="AD46" s="37" t="n">
        <v>9086</v>
      </c>
      <c r="AE46" s="37" t="n">
        <v>11882</v>
      </c>
    </row>
    <row r="47">
      <c r="A47" s="35" t="inlineStr">
        <is>
          <t>累计净空单</t>
        </is>
      </c>
      <c r="B47" s="37" t="n">
        <v>166590</v>
      </c>
      <c r="C47" s="37" t="n">
        <v>168961</v>
      </c>
      <c r="D47" s="37" t="n">
        <v>160427</v>
      </c>
      <c r="E47" s="37" t="n">
        <v>159954</v>
      </c>
      <c r="F47" s="37" t="n">
        <v>155542</v>
      </c>
      <c r="G47" s="37" t="n">
        <v>162453</v>
      </c>
      <c r="H47" s="37" t="n">
        <v>162649</v>
      </c>
      <c r="I47" s="37" t="n">
        <v>171060</v>
      </c>
      <c r="J47" s="37" t="n">
        <v>172751</v>
      </c>
      <c r="K47" s="37" t="n">
        <v>161708</v>
      </c>
      <c r="L47" s="37" t="n">
        <v>174332</v>
      </c>
      <c r="M47" s="37" t="n">
        <v>168177</v>
      </c>
      <c r="N47" s="37" t="n">
        <v>179646</v>
      </c>
      <c r="O47" s="37" t="n">
        <v>181262</v>
      </c>
      <c r="P47" s="37" t="n">
        <v>165874</v>
      </c>
      <c r="Q47" s="37" t="n">
        <v>178468</v>
      </c>
      <c r="R47" s="37" t="n">
        <v>164511</v>
      </c>
      <c r="S47" s="37" t="n">
        <v>169262</v>
      </c>
      <c r="T47" s="37" t="n">
        <v>188943</v>
      </c>
      <c r="U47" s="37" t="n">
        <v>194421</v>
      </c>
      <c r="V47" s="37" t="n">
        <v>197108</v>
      </c>
      <c r="W47" s="37" t="n">
        <v>195646</v>
      </c>
      <c r="X47" s="37" t="n">
        <v>196764</v>
      </c>
      <c r="Y47" s="37" t="n">
        <v>202573</v>
      </c>
      <c r="Z47" s="37" t="n">
        <v>194804</v>
      </c>
      <c r="AA47" s="37" t="n">
        <v>189794</v>
      </c>
      <c r="AB47" s="37" t="n">
        <v>187689</v>
      </c>
      <c r="AC47" s="37" t="n">
        <v>187582</v>
      </c>
      <c r="AD47" s="37" t="n">
        <v>190145</v>
      </c>
      <c r="AE47" s="37" t="n">
        <v>189766</v>
      </c>
    </row>
    <row r="48">
      <c r="A48" s="44" t="inlineStr">
        <is>
          <t>累计净多单</t>
        </is>
      </c>
      <c r="B48" s="37" t="n">
        <v>-79526</v>
      </c>
      <c r="C48" s="37" t="n">
        <v>-78610</v>
      </c>
      <c r="D48" s="37" t="n">
        <v>-82802</v>
      </c>
      <c r="E48" s="37" t="n">
        <v>-75252</v>
      </c>
      <c r="F48" s="37" t="n">
        <v>-72560</v>
      </c>
      <c r="G48" s="37" t="n">
        <v>-74091</v>
      </c>
      <c r="H48" s="37" t="n">
        <v>-57677</v>
      </c>
      <c r="I48" s="37" t="n">
        <v>-57913</v>
      </c>
      <c r="J48" s="37" t="n">
        <v>-35615</v>
      </c>
      <c r="K48" s="37" t="n">
        <v>-48262</v>
      </c>
      <c r="L48" s="37" t="n">
        <v>-48624</v>
      </c>
      <c r="M48" s="37" t="n">
        <v>-24951</v>
      </c>
      <c r="N48" s="37" t="n">
        <v>-18913</v>
      </c>
      <c r="O48" s="37" t="n">
        <v>-20046</v>
      </c>
      <c r="P48" s="37" t="n">
        <v>-27252</v>
      </c>
      <c r="Q48" s="37" t="n">
        <v>-23499</v>
      </c>
      <c r="R48" s="37" t="n">
        <v>-20965</v>
      </c>
      <c r="S48" s="37" t="n">
        <v>-22226</v>
      </c>
      <c r="T48" s="37" t="n">
        <v>-12158</v>
      </c>
      <c r="U48" s="37" t="n">
        <v>-20846</v>
      </c>
      <c r="V48" s="37" t="n">
        <v>-19352</v>
      </c>
      <c r="W48" s="37" t="n">
        <v>-18532</v>
      </c>
      <c r="X48" s="37" t="n">
        <v>-22508</v>
      </c>
      <c r="Y48" s="37" t="n">
        <v>-27809</v>
      </c>
      <c r="Z48" s="37" t="n">
        <v>-14897</v>
      </c>
      <c r="AA48" s="37" t="n">
        <v>-18700</v>
      </c>
      <c r="AB48" s="37" t="n">
        <v>-17676</v>
      </c>
      <c r="AC48" s="37" t="n">
        <v>-22141</v>
      </c>
      <c r="AD48" s="37" t="n">
        <v>-16038</v>
      </c>
      <c r="AE48" s="37" t="n">
        <v>-15231</v>
      </c>
    </row>
    <row r="49">
      <c r="A49" s="35" t="inlineStr">
        <is>
          <t>获利比(sh)</t>
        </is>
      </c>
      <c r="B49" s="41" t="n">
        <v>0.117902</v>
      </c>
      <c r="C49" s="41" t="n">
        <v>0.166949</v>
      </c>
      <c r="D49" s="41" t="n">
        <v>0.260961</v>
      </c>
      <c r="E49" s="41" t="n">
        <v>0.337463</v>
      </c>
      <c r="F49" s="41" t="n">
        <v>0.315219</v>
      </c>
      <c r="G49" s="41" t="n">
        <v>0.161618</v>
      </c>
      <c r="H49" s="41" t="n">
        <v>0.064944</v>
      </c>
      <c r="I49" s="41" t="n">
        <v>0.019155</v>
      </c>
      <c r="J49" s="41" t="n">
        <v>0.060779</v>
      </c>
      <c r="K49" s="41" t="n">
        <v>0.064512</v>
      </c>
      <c r="L49" s="41" t="n">
        <v>0</v>
      </c>
      <c r="M49" s="41" t="n">
        <v>0.06612700000000001</v>
      </c>
      <c r="N49" s="41" t="n">
        <v>0.033921</v>
      </c>
      <c r="O49" s="41" t="n">
        <v>0.017414</v>
      </c>
      <c r="P49" s="41" t="n">
        <v>0.023244</v>
      </c>
      <c r="Q49" s="41" t="n">
        <v>0.00398</v>
      </c>
      <c r="R49" s="41" t="n">
        <v>0.019517</v>
      </c>
      <c r="S49" s="41" t="n">
        <v>0.003805</v>
      </c>
      <c r="T49" s="41" t="n">
        <v>0.091626</v>
      </c>
      <c r="U49" s="41" t="n">
        <v>0.165535</v>
      </c>
      <c r="V49" s="41" t="n">
        <v>0.212111</v>
      </c>
      <c r="W49" s="41" t="n">
        <v>0.184136</v>
      </c>
      <c r="X49" s="41" t="n">
        <v>0.230382</v>
      </c>
      <c r="Y49" s="41" t="n">
        <v>0.156643</v>
      </c>
      <c r="Z49" s="41" t="n">
        <v>0.046367</v>
      </c>
      <c r="AA49" s="41" t="n">
        <v>0.013171</v>
      </c>
      <c r="AB49" s="41" t="n">
        <v>0.038922</v>
      </c>
      <c r="AC49" s="41" t="n">
        <v>0.028516</v>
      </c>
      <c r="AD49" s="41" t="n">
        <v>0.026772</v>
      </c>
      <c r="AE49" s="41" t="n">
        <v>0.000642</v>
      </c>
    </row>
    <row r="50">
      <c r="A50" s="35" t="inlineStr">
        <is>
          <t>筹码峰获利比(sh)</t>
        </is>
      </c>
      <c r="B50" s="41" t="n">
        <v>0.213791</v>
      </c>
      <c r="C50" s="41" t="n">
        <v>0.224739</v>
      </c>
      <c r="D50" s="41" t="n">
        <v>0.210738</v>
      </c>
      <c r="E50" s="41" t="n">
        <v>0.213136</v>
      </c>
      <c r="F50" s="41" t="n">
        <v>0.215883</v>
      </c>
      <c r="G50" s="41" t="n">
        <v>0.228267</v>
      </c>
      <c r="H50" s="41" t="n">
        <v>0.232258</v>
      </c>
      <c r="I50" s="41" t="n">
        <v>0.244495</v>
      </c>
      <c r="J50" s="41" t="n">
        <v>0.225812</v>
      </c>
      <c r="K50" s="41" t="n">
        <v>0.227266</v>
      </c>
      <c r="L50" s="41" t="n">
        <v>0.216623</v>
      </c>
      <c r="M50" s="41" t="n">
        <v>0.216793</v>
      </c>
      <c r="N50" s="41" t="n">
        <v>0.202803</v>
      </c>
      <c r="O50" s="41" t="n">
        <v>0.203883</v>
      </c>
      <c r="P50" s="41" t="n">
        <v>0.205153</v>
      </c>
      <c r="Q50" s="41" t="n">
        <v>0.200822</v>
      </c>
      <c r="R50" s="41" t="n">
        <v>0.231826</v>
      </c>
      <c r="S50" s="41" t="n">
        <v>0.227843</v>
      </c>
      <c r="T50" s="41" t="n">
        <v>0.229248</v>
      </c>
      <c r="U50" s="41" t="n">
        <v>0.219389</v>
      </c>
      <c r="V50" s="41" t="n">
        <v>0.22455</v>
      </c>
      <c r="W50" s="41" t="n">
        <v>0.225436</v>
      </c>
      <c r="X50" s="41" t="n">
        <v>0.226356</v>
      </c>
      <c r="Y50" s="41" t="n">
        <v>0.227891</v>
      </c>
      <c r="Z50" s="41" t="n">
        <v>0.233677</v>
      </c>
      <c r="AA50" s="41" t="n">
        <v>0.23509</v>
      </c>
      <c r="AB50" s="41" t="n">
        <v>0.234805</v>
      </c>
      <c r="AC50" s="41" t="n">
        <v>0.23467</v>
      </c>
      <c r="AD50" s="41" t="n">
        <v>0.236926</v>
      </c>
      <c r="AE50" s="41" t="n">
        <v>0.228446</v>
      </c>
    </row>
    <row r="51">
      <c r="A51" s="35" t="inlineStr">
        <is>
          <t>底部30%获利比(sh)</t>
        </is>
      </c>
      <c r="B51" s="41" t="n">
        <v>0.307133</v>
      </c>
      <c r="C51" s="41" t="n">
        <v>0.294031</v>
      </c>
      <c r="D51" s="41" t="n">
        <v>0.319621</v>
      </c>
      <c r="E51" s="41" t="n">
        <v>0.309465</v>
      </c>
      <c r="F51" s="41" t="n">
        <v>0.303382</v>
      </c>
      <c r="G51" s="41" t="n">
        <v>0.255882</v>
      </c>
      <c r="H51" s="41" t="n">
        <v>0.221087</v>
      </c>
      <c r="I51" s="41" t="n">
        <v>0.211378</v>
      </c>
      <c r="J51" s="41" t="n">
        <v>0.21704</v>
      </c>
      <c r="K51" s="41" t="n">
        <v>0.209554</v>
      </c>
      <c r="L51" s="41" t="n">
        <v>0.341923</v>
      </c>
      <c r="M51" s="41" t="n">
        <v>0.372449</v>
      </c>
      <c r="N51" s="41" t="n">
        <v>0.366812</v>
      </c>
      <c r="O51" s="41" t="n">
        <v>0.3589</v>
      </c>
      <c r="P51" s="41" t="n">
        <v>0.353103</v>
      </c>
      <c r="Q51" s="41" t="n">
        <v>0.349069</v>
      </c>
      <c r="R51" s="41" t="n">
        <v>0.352959</v>
      </c>
      <c r="S51" s="41" t="n">
        <v>0.354512</v>
      </c>
      <c r="T51" s="41" t="n">
        <v>0.344659</v>
      </c>
      <c r="U51" s="41" t="n">
        <v>0.32929</v>
      </c>
      <c r="V51" s="41" t="n">
        <v>0.322008</v>
      </c>
      <c r="W51" s="41" t="n">
        <v>0.3166</v>
      </c>
      <c r="X51" s="41" t="n">
        <v>0.311512</v>
      </c>
      <c r="Y51" s="41" t="n">
        <v>0.303452</v>
      </c>
      <c r="Z51" s="41" t="n">
        <v>0.282553</v>
      </c>
      <c r="AA51" s="41" t="n">
        <v>0.276084</v>
      </c>
      <c r="AB51" s="41" t="n">
        <v>0.269375</v>
      </c>
      <c r="AC51" s="41" t="n">
        <v>0.264768</v>
      </c>
      <c r="AD51" s="41" t="n">
        <v>0.255357</v>
      </c>
      <c r="AE51" s="41" t="n">
        <v>0.300643</v>
      </c>
    </row>
    <row r="52">
      <c r="A52" s="35" t="inlineStr">
        <is>
          <t>顶部30%获利比(sh)</t>
        </is>
      </c>
      <c r="B52" s="41" t="n">
        <v>0.177835</v>
      </c>
      <c r="C52" s="41" t="n">
        <v>0.173317</v>
      </c>
      <c r="D52" s="41" t="n">
        <v>0.109981</v>
      </c>
      <c r="E52" s="41" t="n">
        <v>0.119107</v>
      </c>
      <c r="F52" s="41" t="n">
        <v>0.129573</v>
      </c>
      <c r="G52" s="41" t="n">
        <v>0.144999</v>
      </c>
      <c r="H52" s="41" t="n">
        <v>0.151368</v>
      </c>
      <c r="I52" s="41" t="n">
        <v>0.165686</v>
      </c>
      <c r="J52" s="41" t="n">
        <v>0.161589</v>
      </c>
      <c r="K52" s="41" t="n">
        <v>0.165322</v>
      </c>
      <c r="L52" s="41" t="n">
        <v>0.137184</v>
      </c>
      <c r="M52" s="41" t="n">
        <v>0.133644</v>
      </c>
      <c r="N52" s="41" t="n">
        <v>0.134433</v>
      </c>
      <c r="O52" s="41" t="n">
        <v>0.137423</v>
      </c>
      <c r="P52" s="41" t="n">
        <v>0.140346</v>
      </c>
      <c r="Q52" s="41" t="n">
        <v>0.143061</v>
      </c>
      <c r="R52" s="41" t="n">
        <v>0.145328</v>
      </c>
      <c r="S52" s="41" t="n">
        <v>0.147565</v>
      </c>
      <c r="T52" s="41" t="n">
        <v>0.153913</v>
      </c>
      <c r="U52" s="41" t="n">
        <v>0.161099</v>
      </c>
      <c r="V52" s="41" t="n">
        <v>0.164579</v>
      </c>
      <c r="W52" s="41" t="n">
        <v>0.167961</v>
      </c>
      <c r="X52" s="41" t="n">
        <v>0.171181</v>
      </c>
      <c r="Y52" s="41" t="n">
        <v>0.175841</v>
      </c>
      <c r="Z52" s="41" t="n">
        <v>0.183567</v>
      </c>
      <c r="AA52" s="41" t="n">
        <v>0.186808</v>
      </c>
      <c r="AB52" s="41" t="n">
        <v>0.19411</v>
      </c>
      <c r="AC52" s="41" t="n">
        <v>0.197349</v>
      </c>
      <c r="AD52" s="41" t="n">
        <v>0.20056</v>
      </c>
      <c r="AE52" s="41" t="n">
        <v>0.196159</v>
      </c>
    </row>
    <row r="53">
      <c r="A53" s="35" t="inlineStr">
        <is>
          <t>底部20%获利比(sh)</t>
        </is>
      </c>
      <c r="B53" s="41" t="n">
        <v>0.193996</v>
      </c>
      <c r="C53" s="41" t="n">
        <v>0.174383</v>
      </c>
      <c r="D53" s="41" t="n">
        <v>0.187792</v>
      </c>
      <c r="E53" s="41" t="n">
        <v>0.191141</v>
      </c>
      <c r="F53" s="41" t="n">
        <v>0.193605</v>
      </c>
      <c r="G53" s="41" t="n">
        <v>0.177595</v>
      </c>
      <c r="H53" s="41" t="n">
        <v>0.138503</v>
      </c>
      <c r="I53" s="41" t="n">
        <v>0.119275</v>
      </c>
      <c r="J53" s="41" t="n">
        <v>0.09027300000000001</v>
      </c>
      <c r="K53" s="41" t="n">
        <v>0.082043</v>
      </c>
      <c r="L53" s="41" t="n">
        <v>0.170989</v>
      </c>
      <c r="M53" s="41" t="n">
        <v>0.231925</v>
      </c>
      <c r="N53" s="41" t="n">
        <v>0.24103</v>
      </c>
      <c r="O53" s="41" t="n">
        <v>0.232475</v>
      </c>
      <c r="P53" s="41" t="n">
        <v>0.225853</v>
      </c>
      <c r="Q53" s="41" t="n">
        <v>0.226771</v>
      </c>
      <c r="R53" s="41" t="n">
        <v>0.2477</v>
      </c>
      <c r="S53" s="41" t="n">
        <v>0.253562</v>
      </c>
      <c r="T53" s="41" t="n">
        <v>0.243097</v>
      </c>
      <c r="U53" s="41" t="n">
        <v>0.22607</v>
      </c>
      <c r="V53" s="41" t="n">
        <v>0.218018</v>
      </c>
      <c r="W53" s="41" t="n">
        <v>0.212261</v>
      </c>
      <c r="X53" s="41" t="n">
        <v>0.208386</v>
      </c>
      <c r="Y53" s="41" t="n">
        <v>0.200267</v>
      </c>
      <c r="Z53" s="41" t="n">
        <v>0.176761</v>
      </c>
      <c r="AA53" s="41" t="n">
        <v>0.169653</v>
      </c>
      <c r="AB53" s="41" t="n">
        <v>0.163094</v>
      </c>
      <c r="AC53" s="41" t="n">
        <v>0.15866</v>
      </c>
      <c r="AD53" s="41" t="n">
        <v>0.148226</v>
      </c>
      <c r="AE53" s="41" t="n">
        <v>0.191509</v>
      </c>
    </row>
    <row r="54">
      <c r="A54" s="35" t="inlineStr">
        <is>
          <t>顶部20%获利比(sh)</t>
        </is>
      </c>
      <c r="B54" s="41" t="n">
        <v>0.046795</v>
      </c>
      <c r="C54" s="41" t="n">
        <v>0.042368</v>
      </c>
      <c r="D54" s="41" t="n">
        <v>0.035632</v>
      </c>
      <c r="E54" s="41" t="n">
        <v>0.043407</v>
      </c>
      <c r="F54" s="41" t="n">
        <v>0.052897</v>
      </c>
      <c r="G54" s="41" t="n">
        <v>0.063925</v>
      </c>
      <c r="H54" s="41" t="n">
        <v>0.076962</v>
      </c>
      <c r="I54" s="41" t="n">
        <v>0.097326</v>
      </c>
      <c r="J54" s="41" t="n">
        <v>0.104704</v>
      </c>
      <c r="K54" s="41" t="n">
        <v>0.108109</v>
      </c>
      <c r="L54" s="41" t="n">
        <v>0.098983</v>
      </c>
      <c r="M54" s="41" t="n">
        <v>0.093179</v>
      </c>
      <c r="N54" s="41" t="n">
        <v>0.092284</v>
      </c>
      <c r="O54" s="41" t="n">
        <v>0.09285</v>
      </c>
      <c r="P54" s="41" t="n">
        <v>0.093377</v>
      </c>
      <c r="Q54" s="41" t="n">
        <v>0.093587</v>
      </c>
      <c r="R54" s="41" t="n">
        <v>0.09221600000000001</v>
      </c>
      <c r="S54" s="41" t="n">
        <v>0.094334</v>
      </c>
      <c r="T54" s="41" t="n">
        <v>0.095458</v>
      </c>
      <c r="U54" s="41" t="n">
        <v>0.09701600000000001</v>
      </c>
      <c r="V54" s="41" t="n">
        <v>0.09773999999999999</v>
      </c>
      <c r="W54" s="41" t="n">
        <v>0.098163</v>
      </c>
      <c r="X54" s="41" t="n">
        <v>0.098313</v>
      </c>
      <c r="Y54" s="41" t="n">
        <v>0.098929</v>
      </c>
      <c r="Z54" s="41" t="n">
        <v>0.102837</v>
      </c>
      <c r="AA54" s="41" t="n">
        <v>0.105589</v>
      </c>
      <c r="AB54" s="41" t="n">
        <v>0.107505</v>
      </c>
      <c r="AC54" s="41" t="n">
        <v>0.107288</v>
      </c>
      <c r="AD54" s="41" t="n">
        <v>0.108317</v>
      </c>
      <c r="AE54" s="41" t="n">
        <v>0.103941</v>
      </c>
    </row>
    <row r="55">
      <c r="A55" s="35" t="inlineStr">
        <is>
          <t>筹码峰价格(sh)</t>
        </is>
      </c>
      <c r="B55" s="37" t="n">
        <v>2872.4</v>
      </c>
      <c r="C55" s="37" t="n">
        <v>2874.3</v>
      </c>
      <c r="D55" s="37" t="n">
        <v>2855.6</v>
      </c>
      <c r="E55" s="37" t="n">
        <v>3087.4</v>
      </c>
      <c r="F55" s="37" t="n">
        <v>3087.4</v>
      </c>
      <c r="G55" s="37" t="n">
        <v>3087.4</v>
      </c>
      <c r="H55" s="37" t="n">
        <v>3091.3</v>
      </c>
      <c r="I55" s="37" t="n">
        <v>2922.5</v>
      </c>
      <c r="J55" s="37" t="n">
        <v>2939.7</v>
      </c>
      <c r="K55" s="37" t="n">
        <v>2939.7</v>
      </c>
      <c r="L55" s="37" t="n">
        <v>2942</v>
      </c>
      <c r="M55" s="37" t="n">
        <v>2940.8</v>
      </c>
      <c r="N55" s="37" t="n">
        <v>2946.3</v>
      </c>
      <c r="O55" s="37" t="n">
        <v>2946.3</v>
      </c>
      <c r="P55" s="37" t="n">
        <v>2946.3</v>
      </c>
      <c r="Q55" s="37" t="n">
        <v>2948.5</v>
      </c>
      <c r="R55" s="37" t="n">
        <v>2933.5</v>
      </c>
      <c r="S55" s="37" t="n">
        <v>2936.6</v>
      </c>
      <c r="T55" s="37" t="n">
        <v>2936.6</v>
      </c>
      <c r="U55" s="37" t="n">
        <v>2936.6</v>
      </c>
      <c r="V55" s="37" t="n">
        <v>3086.8</v>
      </c>
      <c r="W55" s="37" t="n">
        <v>3086.8</v>
      </c>
      <c r="X55" s="37" t="n">
        <v>3086.8</v>
      </c>
      <c r="Y55" s="37" t="n">
        <v>3086.8</v>
      </c>
      <c r="Z55" s="37" t="n">
        <v>3086.8</v>
      </c>
      <c r="AA55" s="37" t="n">
        <v>3086.8</v>
      </c>
      <c r="AB55" s="37" t="n">
        <v>3086.8</v>
      </c>
      <c r="AC55" s="37" t="n">
        <v>3086.8</v>
      </c>
      <c r="AD55" s="37" t="n">
        <v>3086.8</v>
      </c>
      <c r="AE55" s="37" t="n">
        <v>3097.3</v>
      </c>
    </row>
    <row r="56">
      <c r="A56" s="35" t="inlineStr">
        <is>
          <t>偏度(sh)</t>
        </is>
      </c>
      <c r="B56" s="37" t="n">
        <v>1.5</v>
      </c>
      <c r="C56" s="37" t="n">
        <v>1.53</v>
      </c>
      <c r="D56" s="37" t="n">
        <v>1.55</v>
      </c>
      <c r="E56" s="37" t="n">
        <v>1.55</v>
      </c>
      <c r="F56" s="37" t="n">
        <v>1.53</v>
      </c>
      <c r="G56" s="37" t="n">
        <v>1.17</v>
      </c>
      <c r="H56" s="37" t="n">
        <v>1.11</v>
      </c>
      <c r="I56" s="37" t="n">
        <v>1.13</v>
      </c>
      <c r="J56" s="37" t="n">
        <v>1.12</v>
      </c>
      <c r="K56" s="37" t="n">
        <v>1.13</v>
      </c>
      <c r="L56" s="37" t="n">
        <v>0.8100000000000001</v>
      </c>
      <c r="M56" s="37" t="n">
        <v>0.83</v>
      </c>
      <c r="N56" s="37" t="n">
        <v>0.85</v>
      </c>
      <c r="O56" s="37" t="n">
        <v>0.86</v>
      </c>
      <c r="P56" s="37" t="n">
        <v>0.87</v>
      </c>
      <c r="Q56" s="37" t="n">
        <v>0.89</v>
      </c>
      <c r="R56" s="37" t="n">
        <v>0.9</v>
      </c>
      <c r="S56" s="37" t="n">
        <v>0.91</v>
      </c>
      <c r="T56" s="37" t="n">
        <v>0.92</v>
      </c>
      <c r="U56" s="37" t="n">
        <v>0.95</v>
      </c>
      <c r="V56" s="37" t="n">
        <v>0.96</v>
      </c>
      <c r="W56" s="37" t="n">
        <v>0.98</v>
      </c>
      <c r="X56" s="37" t="n">
        <v>0.99</v>
      </c>
      <c r="Y56" s="37" t="n">
        <v>1.01</v>
      </c>
      <c r="Z56" s="37" t="n">
        <v>1.01</v>
      </c>
      <c r="AA56" s="37" t="n">
        <v>1</v>
      </c>
      <c r="AB56" s="37" t="n">
        <v>1.01</v>
      </c>
      <c r="AC56" s="37" t="n">
        <v>1.02</v>
      </c>
      <c r="AD56" s="37" t="n">
        <v>1.04</v>
      </c>
      <c r="AE56" s="37" t="n">
        <v>1.04</v>
      </c>
    </row>
    <row r="57">
      <c r="A57" s="35" t="inlineStr">
        <is>
          <t>峰度(sh)</t>
        </is>
      </c>
      <c r="B57" s="37" t="n">
        <v>2.84</v>
      </c>
      <c r="C57" s="37" t="n">
        <v>3.08</v>
      </c>
      <c r="D57" s="37" t="n">
        <v>3.23</v>
      </c>
      <c r="E57" s="37" t="n">
        <v>3.37</v>
      </c>
      <c r="F57" s="37" t="n">
        <v>3.42</v>
      </c>
      <c r="G57" s="37" t="n">
        <v>1.56</v>
      </c>
      <c r="H57" s="37" t="n">
        <v>1.49</v>
      </c>
      <c r="I57" s="37" t="n">
        <v>1.62</v>
      </c>
      <c r="J57" s="37" t="n">
        <v>1.76</v>
      </c>
      <c r="K57" s="37" t="n">
        <v>1.8</v>
      </c>
      <c r="L57" s="37" t="n">
        <v>0.34</v>
      </c>
      <c r="M57" s="37" t="n">
        <v>0.37</v>
      </c>
      <c r="N57" s="37" t="n">
        <v>0.41</v>
      </c>
      <c r="O57" s="37" t="n">
        <v>0.43</v>
      </c>
      <c r="P57" s="37" t="n">
        <v>0.45</v>
      </c>
      <c r="Q57" s="37" t="n">
        <v>0.48</v>
      </c>
      <c r="R57" s="37" t="n">
        <v>0.49</v>
      </c>
      <c r="S57" s="37" t="n">
        <v>0.51</v>
      </c>
      <c r="T57" s="37" t="n">
        <v>0.55</v>
      </c>
      <c r="U57" s="37" t="n">
        <v>0.64</v>
      </c>
      <c r="V57" s="37" t="n">
        <v>0.66</v>
      </c>
      <c r="W57" s="37" t="n">
        <v>0.6899999999999999</v>
      </c>
      <c r="X57" s="37" t="n">
        <v>0.75</v>
      </c>
      <c r="Y57" s="37" t="n">
        <v>0.8</v>
      </c>
      <c r="Z57" s="37" t="n">
        <v>0.84</v>
      </c>
      <c r="AA57" s="37" t="n">
        <v>0.8</v>
      </c>
      <c r="AB57" s="37" t="n">
        <v>0.82</v>
      </c>
      <c r="AC57" s="37" t="n">
        <v>0.82</v>
      </c>
      <c r="AD57" s="37" t="n">
        <v>0.92</v>
      </c>
      <c r="AE57" s="37" t="n">
        <v>0.88</v>
      </c>
    </row>
    <row r="59">
      <c r="A59" s="45" t="inlineStr">
        <is>
          <t>今日买报：筹码峰日涨跌(加权):-7.3%&lt;=-0.03;底部30%获利比(加权):27.35%&gt;=0.1;底部20%获利比(加权):16.36%&gt;=0.06;主力建仓(avg):291.0&gt;=200;新低数120d(avg):1614.0&gt;=1500;新高数60d:38.0&lt;=50;新低数60d:3749.0&gt;=600;新低数60d(zz500):251.0&gt;=250</t>
        </is>
      </c>
    </row>
    <row r="60">
      <c r="A60" s="45" t="inlineStr">
        <is>
          <t>今日卖报：多空差(亿):-1159.37&lt;=-1000;累计净多单:-79526.0&lt;=-20000</t>
        </is>
      </c>
    </row>
  </sheetData>
  <conditionalFormatting sqref="B2:AE2">
    <cfRule type="colorScale" priority="1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2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3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5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6">
      <colorScale>
        <cfvo type="min"/>
        <cfvo type="max"/>
        <color rgb="009AE854"/>
        <color rgb="00F8544C"/>
      </colorScale>
    </cfRule>
  </conditionalFormatting>
  <conditionalFormatting sqref="B9:AE9">
    <cfRule type="colorScale" priority="7">
      <colorScale>
        <cfvo type="min"/>
        <cfvo type="max"/>
        <color rgb="009AE854"/>
        <color rgb="00F8544C"/>
      </colorScale>
    </cfRule>
  </conditionalFormatting>
  <conditionalFormatting sqref="B10:AE10">
    <cfRule type="colorScale" priority="8">
      <colorScale>
        <cfvo type="min"/>
        <cfvo type="max"/>
        <color rgb="009AE854"/>
        <color rgb="00F8544C"/>
      </colorScale>
    </cfRule>
  </conditionalFormatting>
  <conditionalFormatting sqref="B11:AE11">
    <cfRule type="colorScale" priority="9">
      <colorScale>
        <cfvo type="min"/>
        <cfvo type="max"/>
        <color rgb="009AE854"/>
        <color rgb="00F8544C"/>
      </colorScale>
    </cfRule>
  </conditionalFormatting>
  <conditionalFormatting sqref="B12:AE12">
    <cfRule type="colorScale" priority="10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2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4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8:AE18">
    <cfRule type="colorScale" priority="16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17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18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19">
      <colorScale>
        <cfvo type="min"/>
        <cfvo type="max"/>
        <color rgb="009AE854"/>
        <color rgb="00F8544C"/>
      </colorScale>
    </cfRule>
  </conditionalFormatting>
  <conditionalFormatting sqref="B22:AE22">
    <cfRule type="colorScale" priority="20">
      <colorScale>
        <cfvo type="min"/>
        <cfvo type="max"/>
        <color rgb="009AE854"/>
        <color rgb="00F8544C"/>
      </colorScale>
    </cfRule>
  </conditionalFormatting>
  <conditionalFormatting sqref="B23:AE23">
    <cfRule type="colorScale" priority="21">
      <colorScale>
        <cfvo type="min"/>
        <cfvo type="max"/>
        <color rgb="009AE854"/>
        <color rgb="00F8544C"/>
      </colorScale>
    </cfRule>
  </conditionalFormatting>
  <conditionalFormatting sqref="B24:AE24">
    <cfRule type="colorScale" priority="22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3">
      <colorScale>
        <cfvo type="min"/>
        <cfvo type="max"/>
        <color rgb="009AE854"/>
        <color rgb="00F8544C"/>
      </colorScale>
    </cfRule>
  </conditionalFormatting>
  <conditionalFormatting sqref="B26:AE26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7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28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29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30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2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4">
      <colorScale>
        <cfvo type="min"/>
        <cfvo type="max"/>
        <color rgb="009AE854"/>
        <color rgb="00F8544C"/>
      </colorScale>
    </cfRule>
  </conditionalFormatting>
  <conditionalFormatting sqref="B37:AE37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7">
      <colorScale>
        <cfvo type="min"/>
        <cfvo type="max"/>
        <color rgb="009AE854"/>
        <color rgb="00F8544C"/>
      </colorScale>
    </cfRule>
  </conditionalFormatting>
  <conditionalFormatting sqref="B40:AE40">
    <cfRule type="colorScale" priority="38">
      <colorScale>
        <cfvo type="min"/>
        <cfvo type="max"/>
        <color rgb="009AE854"/>
        <color rgb="00F8544C"/>
      </colorScale>
    </cfRule>
  </conditionalFormatting>
  <conditionalFormatting sqref="B41:AE41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0">
      <colorScale>
        <cfvo type="min"/>
        <cfvo type="max"/>
        <color rgb="009AE854"/>
        <color rgb="00F8544C"/>
      </colorScale>
    </cfRule>
  </conditionalFormatting>
  <conditionalFormatting sqref="B43:AE43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2">
      <colorScale>
        <cfvo type="min"/>
        <cfvo type="max"/>
        <color rgb="009AE854"/>
        <color rgb="00F8544C"/>
      </colorScale>
    </cfRule>
  </conditionalFormatting>
  <conditionalFormatting sqref="B45:AE45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4">
      <colorScale>
        <cfvo type="min"/>
        <cfvo type="max"/>
        <color rgb="009AE854"/>
        <color rgb="00F8544C"/>
      </colorScale>
    </cfRule>
  </conditionalFormatting>
  <conditionalFormatting sqref="B47:AE47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8:AE48">
    <cfRule type="colorScale" priority="46">
      <colorScale>
        <cfvo type="min"/>
        <cfvo type="max"/>
        <color rgb="009AE854"/>
        <color rgb="00F8544C"/>
      </colorScale>
    </cfRule>
  </conditionalFormatting>
  <conditionalFormatting sqref="B49:AE49">
    <cfRule type="colorScale" priority="47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48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49">
      <colorScale>
        <cfvo type="min"/>
        <cfvo type="max"/>
        <color rgb="009AE854"/>
        <color rgb="00F8544C"/>
      </colorScale>
    </cfRule>
  </conditionalFormatting>
  <conditionalFormatting sqref="B52:AE52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3:AE53">
    <cfRule type="colorScale" priority="51">
      <colorScale>
        <cfvo type="min"/>
        <cfvo type="max"/>
        <color rgb="009AE854"/>
        <color rgb="00F8544C"/>
      </colorScale>
    </cfRule>
  </conditionalFormatting>
  <conditionalFormatting sqref="B54:AE54">
    <cfRule type="colorScale" priority="52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5">
      <colorScale>
        <cfvo type="min"/>
        <cfvo type="max"/>
        <color rgb="009AE854"/>
        <color rgb="00F8544C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4"/>
  <sheetViews>
    <sheetView topLeftCell="A21" zoomScale="85" zoomScaleNormal="85" workbookViewId="0">
      <selection activeCell="B1" sqref="B1:AE1"/>
    </sheetView>
  </sheetViews>
  <sheetFormatPr baseColWidth="8" defaultColWidth="8.888888888888889" defaultRowHeight="14.4"/>
  <cols>
    <col width="18.1111111111111" customWidth="1" style="3" min="1" max="1"/>
    <col width="7.57407407407407" customWidth="1" style="3" min="2" max="31"/>
  </cols>
  <sheetData>
    <row r="1">
      <c r="A1" s="35" t="inlineStr">
        <is>
          <t>日期</t>
        </is>
      </c>
      <c r="B1" s="36" t="inlineStr">
        <is>
          <t>240131</t>
        </is>
      </c>
      <c r="C1" s="36" t="inlineStr">
        <is>
          <t>240130</t>
        </is>
      </c>
      <c r="D1" s="36" t="inlineStr">
        <is>
          <t>240129</t>
        </is>
      </c>
      <c r="E1" s="36" t="inlineStr">
        <is>
          <t>240126</t>
        </is>
      </c>
      <c r="F1" s="36" t="inlineStr">
        <is>
          <t>240125</t>
        </is>
      </c>
      <c r="G1" s="36" t="inlineStr">
        <is>
          <t>240124</t>
        </is>
      </c>
      <c r="H1" s="36" t="inlineStr">
        <is>
          <t>240123</t>
        </is>
      </c>
      <c r="I1" s="36" t="inlineStr">
        <is>
          <t>240122</t>
        </is>
      </c>
      <c r="J1" s="36" t="inlineStr">
        <is>
          <t>240119</t>
        </is>
      </c>
      <c r="K1" s="36" t="inlineStr">
        <is>
          <t>240118</t>
        </is>
      </c>
      <c r="L1" s="36" t="inlineStr">
        <is>
          <t>240117</t>
        </is>
      </c>
      <c r="M1" s="36" t="inlineStr">
        <is>
          <t>240116</t>
        </is>
      </c>
      <c r="N1" s="36" t="inlineStr">
        <is>
          <t>240112</t>
        </is>
      </c>
      <c r="O1" s="36" t="inlineStr">
        <is>
          <t>240111</t>
        </is>
      </c>
      <c r="P1" s="36" t="inlineStr">
        <is>
          <t>240110</t>
        </is>
      </c>
      <c r="Q1" s="36" t="inlineStr">
        <is>
          <t>240109</t>
        </is>
      </c>
      <c r="R1" s="36" t="inlineStr">
        <is>
          <t>240108</t>
        </is>
      </c>
      <c r="S1" s="36" t="inlineStr">
        <is>
          <t>240105</t>
        </is>
      </c>
      <c r="T1" s="36" t="inlineStr">
        <is>
          <t>240104</t>
        </is>
      </c>
      <c r="U1" s="36" t="inlineStr">
        <is>
          <t>240103</t>
        </is>
      </c>
      <c r="V1" s="36" t="inlineStr">
        <is>
          <t>240102</t>
        </is>
      </c>
      <c r="W1" s="36" t="inlineStr">
        <is>
          <t>231229</t>
        </is>
      </c>
      <c r="X1" s="36" t="inlineStr">
        <is>
          <t>231228</t>
        </is>
      </c>
      <c r="Y1" s="36" t="inlineStr">
        <is>
          <t>231227</t>
        </is>
      </c>
      <c r="Z1" s="36" t="inlineStr">
        <is>
          <t>231226</t>
        </is>
      </c>
      <c r="AA1" s="36" t="inlineStr">
        <is>
          <t>231222</t>
        </is>
      </c>
      <c r="AB1" s="36" t="inlineStr">
        <is>
          <t>231221</t>
        </is>
      </c>
      <c r="AC1" s="36" t="inlineStr">
        <is>
          <t>231220</t>
        </is>
      </c>
      <c r="AD1" s="36" t="inlineStr">
        <is>
          <t>231219</t>
        </is>
      </c>
      <c r="AE1" s="36" t="inlineStr">
        <is>
          <t>231218</t>
        </is>
      </c>
    </row>
    <row r="2">
      <c r="A2" s="35" t="inlineStr">
        <is>
          <t>hk50:EIDE</t>
        </is>
      </c>
      <c r="B2" s="46" t="inlineStr">
        <is>
          <t>green</t>
        </is>
      </c>
      <c r="C2" s="46" t="inlineStr">
        <is>
          <t>green</t>
        </is>
      </c>
      <c r="D2" s="47" t="inlineStr">
        <is>
          <t>red</t>
        </is>
      </c>
      <c r="E2" s="47" t="inlineStr">
        <is>
          <t>red</t>
        </is>
      </c>
      <c r="F2" s="47" t="inlineStr">
        <is>
          <t>red</t>
        </is>
      </c>
      <c r="G2" s="47" t="inlineStr">
        <is>
          <t>red</t>
        </is>
      </c>
      <c r="H2" s="48" t="inlineStr">
        <is>
          <t>blue</t>
        </is>
      </c>
      <c r="I2" s="46" t="inlineStr">
        <is>
          <t>green</t>
        </is>
      </c>
      <c r="J2" s="46" t="inlineStr">
        <is>
          <t>green</t>
        </is>
      </c>
      <c r="K2" s="46" t="inlineStr">
        <is>
          <t>green</t>
        </is>
      </c>
      <c r="L2" s="46" t="inlineStr">
        <is>
          <t>green</t>
        </is>
      </c>
      <c r="M2" s="46" t="inlineStr">
        <is>
          <t>green</t>
        </is>
      </c>
      <c r="N2" s="48" t="inlineStr">
        <is>
          <t>blue</t>
        </is>
      </c>
      <c r="O2" s="48" t="inlineStr">
        <is>
          <t>blue</t>
        </is>
      </c>
      <c r="P2" s="46" t="inlineStr">
        <is>
          <t>green</t>
        </is>
      </c>
      <c r="Q2" s="46" t="inlineStr">
        <is>
          <t>green</t>
        </is>
      </c>
      <c r="R2" s="46" t="inlineStr">
        <is>
          <t>green</t>
        </is>
      </c>
      <c r="S2" s="46" t="inlineStr">
        <is>
          <t>green</t>
        </is>
      </c>
      <c r="T2" s="46" t="inlineStr">
        <is>
          <t>green</t>
        </is>
      </c>
      <c r="U2" s="46" t="inlineStr">
        <is>
          <t>green</t>
        </is>
      </c>
      <c r="V2" s="48" t="inlineStr">
        <is>
          <t>blue</t>
        </is>
      </c>
      <c r="W2" s="47" t="inlineStr">
        <is>
          <t>red</t>
        </is>
      </c>
      <c r="X2" s="47" t="inlineStr">
        <is>
          <t>red</t>
        </is>
      </c>
      <c r="Y2" s="47" t="inlineStr">
        <is>
          <t>red</t>
        </is>
      </c>
      <c r="Z2" s="47" t="inlineStr">
        <is>
          <t>red</t>
        </is>
      </c>
      <c r="AA2" s="46" t="inlineStr">
        <is>
          <t>green</t>
        </is>
      </c>
      <c r="AB2" s="47" t="inlineStr">
        <is>
          <t>red</t>
        </is>
      </c>
      <c r="AC2" s="47" t="inlineStr">
        <is>
          <t>red</t>
        </is>
      </c>
      <c r="AD2" s="48" t="inlineStr">
        <is>
          <t>blue</t>
        </is>
      </c>
      <c r="AE2" s="47" t="inlineStr">
        <is>
          <t>red</t>
        </is>
      </c>
    </row>
    <row r="3">
      <c r="A3" s="43" t="inlineStr">
        <is>
          <t>hk50:RNG60</t>
        </is>
      </c>
      <c r="B3" s="49" t="n">
        <v>-12.34</v>
      </c>
      <c r="C3" s="49" t="n">
        <v>-8.859999999999999</v>
      </c>
      <c r="D3" s="49" t="n">
        <v>-5.99</v>
      </c>
      <c r="E3" s="49" t="n">
        <v>-6.78</v>
      </c>
      <c r="F3" s="49" t="n">
        <v>-6.86</v>
      </c>
      <c r="G3" s="49" t="n">
        <v>-8.609999999999999</v>
      </c>
      <c r="H3" s="49" t="n">
        <v>-9.92</v>
      </c>
      <c r="I3" s="49" t="n">
        <v>-12.43</v>
      </c>
      <c r="J3" s="49" t="n">
        <v>-9.9</v>
      </c>
      <c r="K3" s="49" t="n">
        <v>-10.37</v>
      </c>
      <c r="L3" s="49" t="n">
        <v>-11.67</v>
      </c>
      <c r="M3" s="49" t="n">
        <v>-10.53</v>
      </c>
      <c r="N3" s="49" t="n">
        <v>-7.91</v>
      </c>
      <c r="O3" s="49" t="n">
        <v>-8.48</v>
      </c>
      <c r="P3" s="49" t="n">
        <v>-11.74</v>
      </c>
      <c r="Q3" s="49" t="n">
        <v>-9.52</v>
      </c>
      <c r="R3" s="49" t="n">
        <v>-8.15</v>
      </c>
      <c r="S3" s="49" t="n">
        <v>-5.61</v>
      </c>
      <c r="T3" s="49" t="n">
        <v>-4.8</v>
      </c>
      <c r="U3" s="49" t="n">
        <v>-3.3</v>
      </c>
      <c r="V3" s="49" t="n">
        <v>-2.37</v>
      </c>
      <c r="W3" s="49" t="n">
        <v>-1.64</v>
      </c>
      <c r="X3" s="49" t="n">
        <v>-4.3</v>
      </c>
      <c r="Y3" s="49" t="n">
        <v>-4.31</v>
      </c>
      <c r="Z3" s="49" t="n">
        <v>-4.31</v>
      </c>
      <c r="AA3" s="49" t="n">
        <v>-7.22</v>
      </c>
      <c r="AB3" s="49" t="n">
        <v>-4.84</v>
      </c>
      <c r="AC3" s="49" t="n">
        <v>-6.29</v>
      </c>
      <c r="AD3" s="49" t="n">
        <v>-8.6</v>
      </c>
      <c r="AE3" s="49" t="n">
        <v>-5.81</v>
      </c>
    </row>
    <row r="4">
      <c r="A4" s="43" t="inlineStr">
        <is>
          <t>hk50:RNG120</t>
        </is>
      </c>
      <c r="B4" s="49" t="n">
        <v>-20.74</v>
      </c>
      <c r="C4" s="49" t="n">
        <v>-19.63</v>
      </c>
      <c r="D4" s="49" t="n">
        <v>-17.22</v>
      </c>
      <c r="E4" s="49" t="n">
        <v>-18.27</v>
      </c>
      <c r="F4" s="49" t="n">
        <v>-18.99</v>
      </c>
      <c r="G4" s="49" t="n">
        <v>-20.81</v>
      </c>
      <c r="H4" s="49" t="n">
        <v>-22.91</v>
      </c>
      <c r="I4" s="49" t="n">
        <v>-23.82</v>
      </c>
      <c r="J4" s="49" t="n">
        <v>-20.95</v>
      </c>
      <c r="K4" s="49" t="n">
        <v>-20.8</v>
      </c>
      <c r="L4" s="49" t="n">
        <v>-18.17</v>
      </c>
      <c r="M4" s="49" t="n">
        <v>-16.82</v>
      </c>
      <c r="N4" s="49" t="n">
        <v>-14.29</v>
      </c>
      <c r="O4" s="49" t="n">
        <v>-14.27</v>
      </c>
      <c r="P4" s="49" t="n">
        <v>-17.08</v>
      </c>
      <c r="Q4" s="49" t="n">
        <v>-16.61</v>
      </c>
      <c r="R4" s="49" t="n">
        <v>-16.16</v>
      </c>
      <c r="S4" s="49" t="n">
        <v>-12.33</v>
      </c>
      <c r="T4" s="49" t="n">
        <v>-10.79</v>
      </c>
      <c r="U4" s="49" t="n">
        <v>-9.92</v>
      </c>
      <c r="V4" s="49" t="n">
        <v>-8.59</v>
      </c>
      <c r="W4" s="49" t="n">
        <v>-8.02</v>
      </c>
      <c r="X4" s="49" t="n">
        <v>-10.82</v>
      </c>
      <c r="Y4" s="49" t="n">
        <v>-14.37</v>
      </c>
      <c r="Z4" s="49" t="n">
        <v>-14.37</v>
      </c>
      <c r="AA4" s="49" t="n">
        <v>-15.36</v>
      </c>
      <c r="AB4" s="49" t="n">
        <v>-12.13</v>
      </c>
      <c r="AC4" s="49" t="n">
        <v>-12.26</v>
      </c>
      <c r="AD4" s="49" t="n">
        <v>-13.91</v>
      </c>
      <c r="AE4" s="49" t="n">
        <v>-13.15</v>
      </c>
    </row>
    <row r="5">
      <c r="A5" s="35" t="inlineStr">
        <is>
          <t>hk50:MAIN_STOCK</t>
        </is>
      </c>
      <c r="B5" s="49" t="n">
        <v>77.62</v>
      </c>
      <c r="C5" s="49" t="n">
        <v>77.56999999999999</v>
      </c>
      <c r="D5" s="49" t="n">
        <v>78.41</v>
      </c>
      <c r="E5" s="49" t="n">
        <v>81.02</v>
      </c>
      <c r="F5" s="49" t="n">
        <v>83.34</v>
      </c>
      <c r="G5" s="49" t="n">
        <v>87.06</v>
      </c>
      <c r="H5" s="49" t="n">
        <v>89.75</v>
      </c>
      <c r="I5" s="49" t="n">
        <v>90.23999999999999</v>
      </c>
      <c r="J5" s="49" t="n">
        <v>88.98999999999999</v>
      </c>
      <c r="K5" s="49" t="n">
        <v>87.48</v>
      </c>
      <c r="L5" s="49" t="n">
        <v>86.23999999999999</v>
      </c>
      <c r="M5" s="49" t="n">
        <v>84.22</v>
      </c>
      <c r="N5" s="49" t="n">
        <v>80.56</v>
      </c>
      <c r="O5" s="49" t="n">
        <v>79.40000000000001</v>
      </c>
      <c r="P5" s="49" t="n">
        <v>78.52</v>
      </c>
      <c r="Q5" s="49" t="n">
        <v>76.16</v>
      </c>
      <c r="R5" s="49" t="n">
        <v>74.19</v>
      </c>
      <c r="S5" s="49" t="n">
        <v>72.28</v>
      </c>
      <c r="T5" s="49" t="n">
        <v>72.3</v>
      </c>
      <c r="U5" s="49" t="n">
        <v>72.93000000000001</v>
      </c>
      <c r="V5" s="49" t="n">
        <v>73.64</v>
      </c>
      <c r="W5" s="49" t="n">
        <v>75.37</v>
      </c>
      <c r="X5" s="49" t="n">
        <v>78.98999999999999</v>
      </c>
      <c r="Y5" s="49" t="n">
        <v>82.95</v>
      </c>
      <c r="Z5" s="49" t="n">
        <v>82.95</v>
      </c>
      <c r="AA5" s="49" t="n">
        <v>84.45999999999999</v>
      </c>
      <c r="AB5" s="49" t="n">
        <v>84.23999999999999</v>
      </c>
      <c r="AC5" s="49" t="n">
        <v>85.41</v>
      </c>
      <c r="AD5" s="49" t="n">
        <v>86.44</v>
      </c>
      <c r="AE5" s="49" t="n">
        <v>86.98</v>
      </c>
    </row>
    <row r="6">
      <c r="A6" s="35" t="inlineStr">
        <is>
          <t>hk50:ORG_CHIP</t>
        </is>
      </c>
      <c r="B6" s="49" t="n">
        <v>30.66</v>
      </c>
      <c r="C6" s="49" t="n">
        <v>40.35</v>
      </c>
      <c r="D6" s="49" t="n">
        <v>56.94</v>
      </c>
      <c r="E6" s="49" t="n">
        <v>51.4</v>
      </c>
      <c r="F6" s="49" t="n">
        <v>62.92</v>
      </c>
      <c r="G6" s="49" t="n">
        <v>49.07</v>
      </c>
      <c r="H6" s="49" t="n">
        <v>24.85</v>
      </c>
      <c r="I6" s="49" t="n">
        <v>7.41</v>
      </c>
      <c r="J6" s="49" t="n">
        <v>6.69</v>
      </c>
      <c r="K6" s="49" t="n">
        <v>11.15</v>
      </c>
      <c r="L6" s="49" t="n">
        <v>4.42</v>
      </c>
      <c r="M6" s="49" t="n">
        <v>2.6</v>
      </c>
      <c r="N6" s="49" t="n">
        <v>25.33</v>
      </c>
      <c r="O6" s="49" t="n">
        <v>23.86</v>
      </c>
      <c r="P6" s="49" t="n">
        <v>8.050000000000001</v>
      </c>
      <c r="Q6" s="49" t="n">
        <v>13.72</v>
      </c>
      <c r="R6" s="49" t="n">
        <v>13.01</v>
      </c>
      <c r="S6" s="49" t="n">
        <v>29.04</v>
      </c>
      <c r="T6" s="49" t="n">
        <v>34.75</v>
      </c>
      <c r="U6" s="49" t="n">
        <v>34.77</v>
      </c>
      <c r="V6" s="49" t="n">
        <v>42.11</v>
      </c>
      <c r="W6" s="49" t="n">
        <v>55.46</v>
      </c>
      <c r="X6" s="49" t="n">
        <v>50.85</v>
      </c>
      <c r="Y6" s="49" t="n">
        <v>30.97</v>
      </c>
      <c r="Z6" s="49" t="n">
        <v>30.97</v>
      </c>
      <c r="AA6" s="49" t="n">
        <v>17.47</v>
      </c>
      <c r="AB6" s="49" t="n">
        <v>30.8</v>
      </c>
      <c r="AC6" s="49" t="n">
        <v>30.45</v>
      </c>
      <c r="AD6" s="49" t="n">
        <v>25.29</v>
      </c>
      <c r="AE6" s="49" t="n">
        <v>31.18</v>
      </c>
    </row>
    <row r="7">
      <c r="A7" s="35" t="inlineStr">
        <is>
          <t>us500:EIDE</t>
        </is>
      </c>
      <c r="B7" s="46" t="inlineStr">
        <is>
          <t>green</t>
        </is>
      </c>
      <c r="C7" s="48" t="inlineStr">
        <is>
          <t>blue</t>
        </is>
      </c>
      <c r="D7" s="47" t="inlineStr">
        <is>
          <t>red</t>
        </is>
      </c>
      <c r="E7" s="47" t="inlineStr">
        <is>
          <t>red</t>
        </is>
      </c>
      <c r="F7" s="47" t="inlineStr">
        <is>
          <t>red</t>
        </is>
      </c>
      <c r="G7" s="47" t="inlineStr">
        <is>
          <t>red</t>
        </is>
      </c>
      <c r="H7" s="47" t="inlineStr">
        <is>
          <t>red</t>
        </is>
      </c>
      <c r="I7" s="47" t="inlineStr">
        <is>
          <t>red</t>
        </is>
      </c>
      <c r="J7" s="47" t="inlineStr">
        <is>
          <t>red</t>
        </is>
      </c>
      <c r="K7" s="47" t="inlineStr">
        <is>
          <t>red</t>
        </is>
      </c>
      <c r="L7" s="46" t="inlineStr">
        <is>
          <t>green</t>
        </is>
      </c>
      <c r="M7" s="48" t="inlineStr">
        <is>
          <t>blue</t>
        </is>
      </c>
      <c r="N7" s="47" t="inlineStr">
        <is>
          <t>red</t>
        </is>
      </c>
      <c r="O7" s="47" t="inlineStr">
        <is>
          <t>red</t>
        </is>
      </c>
      <c r="P7" s="47" t="inlineStr">
        <is>
          <t>red</t>
        </is>
      </c>
      <c r="Q7" s="47" t="inlineStr">
        <is>
          <t>red</t>
        </is>
      </c>
      <c r="R7" s="47" t="inlineStr">
        <is>
          <t>red</t>
        </is>
      </c>
      <c r="S7" s="46" t="inlineStr">
        <is>
          <t>green</t>
        </is>
      </c>
      <c r="T7" s="46" t="inlineStr">
        <is>
          <t>green</t>
        </is>
      </c>
      <c r="U7" s="46" t="inlineStr">
        <is>
          <t>green</t>
        </is>
      </c>
      <c r="V7" s="48" t="inlineStr">
        <is>
          <t>blue</t>
        </is>
      </c>
      <c r="W7" s="48" t="inlineStr">
        <is>
          <t>blue</t>
        </is>
      </c>
      <c r="X7" s="48" t="inlineStr">
        <is>
          <t>blue</t>
        </is>
      </c>
      <c r="Y7" s="48" t="inlineStr">
        <is>
          <t>blue</t>
        </is>
      </c>
      <c r="Z7" s="48" t="inlineStr">
        <is>
          <t>blue</t>
        </is>
      </c>
      <c r="AA7" s="48" t="inlineStr">
        <is>
          <t>blue</t>
        </is>
      </c>
      <c r="AB7" s="48" t="inlineStr">
        <is>
          <t>blue</t>
        </is>
      </c>
      <c r="AC7" s="48" t="inlineStr">
        <is>
          <t>blue</t>
        </is>
      </c>
      <c r="AD7" s="47" t="inlineStr">
        <is>
          <t>red</t>
        </is>
      </c>
      <c r="AE7" s="47" t="inlineStr">
        <is>
          <t>red</t>
        </is>
      </c>
    </row>
    <row r="8">
      <c r="A8" s="44" t="inlineStr">
        <is>
          <t>us500:RNG60</t>
        </is>
      </c>
      <c r="B8" s="49" t="n">
        <v>12.23</v>
      </c>
      <c r="C8" s="49" t="n">
        <v>16.21</v>
      </c>
      <c r="D8" s="49" t="n">
        <v>17.51</v>
      </c>
      <c r="E8" s="49" t="n">
        <v>17.38</v>
      </c>
      <c r="F8" s="49" t="n">
        <v>18.87</v>
      </c>
      <c r="G8" s="49" t="n">
        <v>17.68</v>
      </c>
      <c r="H8" s="49" t="n">
        <v>16.19</v>
      </c>
      <c r="I8" s="49" t="n">
        <v>14.19</v>
      </c>
      <c r="J8" s="49" t="n">
        <v>14.77</v>
      </c>
      <c r="K8" s="49" t="n">
        <v>13.18</v>
      </c>
      <c r="L8" s="49" t="n">
        <v>10.78</v>
      </c>
      <c r="M8" s="49" t="n">
        <v>10.46</v>
      </c>
      <c r="N8" s="49" t="n">
        <v>9.390000000000001</v>
      </c>
      <c r="O8" s="49" t="n">
        <v>9.300000000000001</v>
      </c>
      <c r="P8" s="49" t="n">
        <v>10.53</v>
      </c>
      <c r="Q8" s="49" t="n">
        <v>9.35</v>
      </c>
      <c r="R8" s="49" t="n">
        <v>8.83</v>
      </c>
      <c r="S8" s="49" t="n">
        <v>7.78</v>
      </c>
      <c r="T8" s="49" t="n">
        <v>8.140000000000001</v>
      </c>
      <c r="U8" s="49" t="n">
        <v>9.199999999999999</v>
      </c>
      <c r="V8" s="49" t="n">
        <v>11.38</v>
      </c>
      <c r="W8" s="49" t="n">
        <v>11.87</v>
      </c>
      <c r="X8" s="49" t="n">
        <v>13.1</v>
      </c>
      <c r="Y8" s="49" t="n">
        <v>11.5</v>
      </c>
      <c r="Z8" s="49" t="n">
        <v>11.35</v>
      </c>
      <c r="AA8" s="49" t="n">
        <v>10.58</v>
      </c>
      <c r="AB8" s="49" t="n">
        <v>11.05</v>
      </c>
      <c r="AC8" s="49" t="n">
        <v>9.94</v>
      </c>
      <c r="AD8" s="49" t="n">
        <v>9.94</v>
      </c>
      <c r="AE8" s="49" t="n">
        <v>9.73</v>
      </c>
    </row>
    <row r="9">
      <c r="A9" s="35" t="inlineStr">
        <is>
          <t>us500:RNG120</t>
        </is>
      </c>
      <c r="B9" s="49" t="n">
        <v>8.460000000000001</v>
      </c>
      <c r="C9" s="49" t="n">
        <v>9.460000000000001</v>
      </c>
      <c r="D9" s="49" t="n">
        <v>9.06</v>
      </c>
      <c r="E9" s="49" t="n">
        <v>9.220000000000001</v>
      </c>
      <c r="F9" s="49" t="n">
        <v>8.710000000000001</v>
      </c>
      <c r="G9" s="49" t="n">
        <v>7.87</v>
      </c>
      <c r="H9" s="49" t="n">
        <v>6.29</v>
      </c>
      <c r="I9" s="49" t="n">
        <v>5.7</v>
      </c>
      <c r="J9" s="49" t="n">
        <v>5.62</v>
      </c>
      <c r="K9" s="49" t="n">
        <v>5.37</v>
      </c>
      <c r="L9" s="49" t="n">
        <v>3.78</v>
      </c>
      <c r="M9" s="49" t="n">
        <v>4.35</v>
      </c>
      <c r="N9" s="49" t="n">
        <v>5.03</v>
      </c>
      <c r="O9" s="49" t="n">
        <v>5.38</v>
      </c>
      <c r="P9" s="49" t="n">
        <v>5.48</v>
      </c>
      <c r="Q9" s="49" t="n">
        <v>4.18</v>
      </c>
      <c r="R9" s="49" t="n">
        <v>4.58</v>
      </c>
      <c r="S9" s="49" t="n">
        <v>3.86</v>
      </c>
      <c r="T9" s="49" t="n">
        <v>4.07</v>
      </c>
      <c r="U9" s="49" t="n">
        <v>4.32</v>
      </c>
      <c r="V9" s="49" t="n">
        <v>6.05</v>
      </c>
      <c r="W9" s="49" t="n">
        <v>7.45</v>
      </c>
      <c r="X9" s="49" t="n">
        <v>8.48</v>
      </c>
      <c r="Y9" s="49" t="n">
        <v>8.699999999999999</v>
      </c>
      <c r="Z9" s="49" t="n">
        <v>8.23</v>
      </c>
      <c r="AA9" s="49" t="n">
        <v>6.92</v>
      </c>
      <c r="AB9" s="49" t="n">
        <v>6.52</v>
      </c>
      <c r="AC9" s="49" t="n">
        <v>5.45</v>
      </c>
      <c r="AD9" s="49" t="n">
        <v>7.15</v>
      </c>
      <c r="AE9" s="49" t="n">
        <v>7.83</v>
      </c>
    </row>
    <row r="10">
      <c r="A10" s="44" t="inlineStr">
        <is>
          <t>us500:MAIN_STOCK</t>
        </is>
      </c>
      <c r="B10" s="49" t="n">
        <v>-5.71</v>
      </c>
      <c r="C10" s="49" t="n">
        <v>-7.06</v>
      </c>
      <c r="D10" s="49" t="n">
        <v>-7.01</v>
      </c>
      <c r="E10" s="49" t="n">
        <v>-6.83</v>
      </c>
      <c r="F10" s="49" t="n">
        <v>-6.88</v>
      </c>
      <c r="G10" s="49" t="n">
        <v>-6.79</v>
      </c>
      <c r="H10" s="49" t="n">
        <v>-7.16</v>
      </c>
      <c r="I10" s="49" t="n">
        <v>-6.92</v>
      </c>
      <c r="J10" s="49" t="n">
        <v>-6.91</v>
      </c>
      <c r="K10" s="49" t="n">
        <v>-6.54</v>
      </c>
      <c r="L10" s="49" t="n">
        <v>-6.54</v>
      </c>
      <c r="M10" s="49" t="n">
        <v>-7.44</v>
      </c>
      <c r="N10" s="49" t="n">
        <v>-7.79</v>
      </c>
      <c r="O10" s="49" t="n">
        <v>-7.74</v>
      </c>
      <c r="P10" s="49" t="n">
        <v>-7.63</v>
      </c>
      <c r="Q10" s="49" t="n">
        <v>-7.29</v>
      </c>
      <c r="R10" s="49" t="n">
        <v>-7.48</v>
      </c>
      <c r="S10" s="49" t="n">
        <v>-7.49</v>
      </c>
      <c r="T10" s="49" t="n">
        <v>-8.970000000000001</v>
      </c>
      <c r="U10" s="49" t="n">
        <v>-10.75</v>
      </c>
      <c r="V10" s="49" t="n">
        <v>-12.29</v>
      </c>
      <c r="W10" s="49" t="n">
        <v>-13.07</v>
      </c>
      <c r="X10" s="49" t="n">
        <v>-13.25</v>
      </c>
      <c r="Y10" s="49" t="n">
        <v>-13.08</v>
      </c>
      <c r="Z10" s="49" t="n">
        <v>-12.69</v>
      </c>
      <c r="AA10" s="49" t="n">
        <v>-12.35</v>
      </c>
      <c r="AB10" s="49" t="n">
        <v>-12.23</v>
      </c>
      <c r="AC10" s="49" t="n">
        <v>-12.22</v>
      </c>
      <c r="AD10" s="49" t="n">
        <v>-13.28</v>
      </c>
      <c r="AE10" s="49" t="n">
        <v>-12.52</v>
      </c>
    </row>
    <row r="11">
      <c r="A11" s="35" t="inlineStr">
        <is>
          <t>us500:ORG_CHIP</t>
        </is>
      </c>
      <c r="B11" s="49" t="n">
        <v>66.53</v>
      </c>
      <c r="C11" s="49" t="n">
        <v>98.8</v>
      </c>
      <c r="D11" s="49" t="n">
        <v>100</v>
      </c>
      <c r="E11" s="49" t="n">
        <v>98.73</v>
      </c>
      <c r="F11" s="49" t="n">
        <v>100</v>
      </c>
      <c r="G11" s="49" t="n">
        <v>100</v>
      </c>
      <c r="H11" s="49" t="n">
        <v>100</v>
      </c>
      <c r="I11" s="49" t="n">
        <v>100</v>
      </c>
      <c r="J11" s="49" t="n">
        <v>100</v>
      </c>
      <c r="K11" s="49" t="n">
        <v>98.78</v>
      </c>
      <c r="L11" s="49" t="n">
        <v>81.2</v>
      </c>
      <c r="M11" s="49" t="n">
        <v>92.48</v>
      </c>
      <c r="N11" s="49" t="n">
        <v>100</v>
      </c>
      <c r="O11" s="49" t="n">
        <v>98.7</v>
      </c>
      <c r="P11" s="49" t="n">
        <v>100</v>
      </c>
      <c r="Q11" s="49" t="n">
        <v>89.09</v>
      </c>
      <c r="R11" s="49" t="n">
        <v>91.95</v>
      </c>
      <c r="S11" s="49" t="n">
        <v>65.01000000000001</v>
      </c>
      <c r="T11" s="49" t="n">
        <v>63.28</v>
      </c>
      <c r="U11" s="49" t="n">
        <v>71.23</v>
      </c>
      <c r="V11" s="49" t="n">
        <v>85.72</v>
      </c>
      <c r="W11" s="49" t="n">
        <v>95.43000000000001</v>
      </c>
      <c r="X11" s="49" t="n">
        <v>100</v>
      </c>
      <c r="Y11" s="49" t="n">
        <v>100</v>
      </c>
      <c r="Z11" s="49" t="n">
        <v>100</v>
      </c>
      <c r="AA11" s="49" t="n">
        <v>96.69</v>
      </c>
      <c r="AB11" s="49" t="n">
        <v>94.91</v>
      </c>
      <c r="AC11" s="49" t="n">
        <v>83.5</v>
      </c>
      <c r="AD11" s="49" t="n">
        <v>100</v>
      </c>
      <c r="AE11" s="49" t="n">
        <v>100</v>
      </c>
    </row>
    <row r="12">
      <c r="A12" s="35" t="inlineStr">
        <is>
          <t>us30:EIDE</t>
        </is>
      </c>
      <c r="B12" s="48" t="inlineStr">
        <is>
          <t>blue</t>
        </is>
      </c>
      <c r="C12" s="47" t="inlineStr">
        <is>
          <t>red</t>
        </is>
      </c>
      <c r="D12" s="47" t="inlineStr">
        <is>
          <t>red</t>
        </is>
      </c>
      <c r="E12" s="47" t="inlineStr">
        <is>
          <t>red</t>
        </is>
      </c>
      <c r="F12" s="47" t="inlineStr">
        <is>
          <t>red</t>
        </is>
      </c>
      <c r="G12" s="47" t="inlineStr">
        <is>
          <t>red</t>
        </is>
      </c>
      <c r="H12" s="47" t="inlineStr">
        <is>
          <t>red</t>
        </is>
      </c>
      <c r="I12" s="47" t="inlineStr">
        <is>
          <t>red</t>
        </is>
      </c>
      <c r="J12" s="47" t="inlineStr">
        <is>
          <t>red</t>
        </is>
      </c>
      <c r="K12" s="47" t="inlineStr">
        <is>
          <t>red</t>
        </is>
      </c>
      <c r="L12" s="46" t="inlineStr">
        <is>
          <t>green</t>
        </is>
      </c>
      <c r="M12" s="46" t="inlineStr">
        <is>
          <t>green</t>
        </is>
      </c>
      <c r="N12" s="48" t="inlineStr">
        <is>
          <t>blue</t>
        </is>
      </c>
      <c r="O12" s="47" t="inlineStr">
        <is>
          <t>red</t>
        </is>
      </c>
      <c r="P12" s="47" t="inlineStr">
        <is>
          <t>red</t>
        </is>
      </c>
      <c r="Q12" s="48" t="inlineStr">
        <is>
          <t>blue</t>
        </is>
      </c>
      <c r="R12" s="47" t="inlineStr">
        <is>
          <t>red</t>
        </is>
      </c>
      <c r="S12" s="48" t="inlineStr">
        <is>
          <t>blue</t>
        </is>
      </c>
      <c r="T12" s="48" t="inlineStr">
        <is>
          <t>blue</t>
        </is>
      </c>
      <c r="U12" s="48" t="inlineStr">
        <is>
          <t>blue</t>
        </is>
      </c>
      <c r="V12" s="48" t="inlineStr">
        <is>
          <t>blue</t>
        </is>
      </c>
      <c r="W12" s="48" t="inlineStr">
        <is>
          <t>blue</t>
        </is>
      </c>
      <c r="X12" s="48" t="inlineStr">
        <is>
          <t>blue</t>
        </is>
      </c>
      <c r="Y12" s="48" t="inlineStr">
        <is>
          <t>blue</t>
        </is>
      </c>
      <c r="Z12" s="48" t="inlineStr">
        <is>
          <t>blue</t>
        </is>
      </c>
      <c r="AA12" s="48" t="inlineStr">
        <is>
          <t>blue</t>
        </is>
      </c>
      <c r="AB12" s="48" t="inlineStr">
        <is>
          <t>blue</t>
        </is>
      </c>
      <c r="AC12" s="48" t="inlineStr">
        <is>
          <t>blue</t>
        </is>
      </c>
      <c r="AD12" s="47" t="inlineStr">
        <is>
          <t>red</t>
        </is>
      </c>
      <c r="AE12" s="48" t="inlineStr">
        <is>
          <t>blue</t>
        </is>
      </c>
    </row>
    <row r="13">
      <c r="A13" s="44" t="inlineStr">
        <is>
          <t>us30:RNG60</t>
        </is>
      </c>
      <c r="B13" s="49" t="n">
        <v>12.74</v>
      </c>
      <c r="C13" s="49" t="n">
        <v>15.61</v>
      </c>
      <c r="D13" s="49" t="n">
        <v>15.98</v>
      </c>
      <c r="E13" s="49" t="n">
        <v>15.73</v>
      </c>
      <c r="F13" s="49" t="n">
        <v>17.37</v>
      </c>
      <c r="G13" s="49" t="n">
        <v>15.32</v>
      </c>
      <c r="H13" s="49" t="n">
        <v>14.74</v>
      </c>
      <c r="I13" s="49" t="n">
        <v>14.67</v>
      </c>
      <c r="J13" s="49" t="n">
        <v>14.96</v>
      </c>
      <c r="K13" s="49" t="n">
        <v>13.1</v>
      </c>
      <c r="L13" s="49" t="n">
        <v>11.53</v>
      </c>
      <c r="M13" s="49" t="n">
        <v>10.98</v>
      </c>
      <c r="N13" s="49" t="n">
        <v>10.58</v>
      </c>
      <c r="O13" s="49" t="n">
        <v>10.97</v>
      </c>
      <c r="P13" s="49" t="n">
        <v>11.96</v>
      </c>
      <c r="Q13" s="49" t="n">
        <v>11.58</v>
      </c>
      <c r="R13" s="49" t="n">
        <v>11.47</v>
      </c>
      <c r="S13" s="49" t="n">
        <v>11.05</v>
      </c>
      <c r="T13" s="49" t="n">
        <v>11.41</v>
      </c>
      <c r="U13" s="49" t="n">
        <v>12.04</v>
      </c>
      <c r="V13" s="49" t="n">
        <v>13.88</v>
      </c>
      <c r="W13" s="49" t="n">
        <v>13.76</v>
      </c>
      <c r="X13" s="49" t="n">
        <v>14.26</v>
      </c>
      <c r="Y13" s="49" t="n">
        <v>12.63</v>
      </c>
      <c r="Z13" s="49" t="n">
        <v>12.05</v>
      </c>
      <c r="AA13" s="49" t="n">
        <v>11.05</v>
      </c>
      <c r="AB13" s="49" t="n">
        <v>11.49</v>
      </c>
      <c r="AC13" s="49" t="n">
        <v>10.3</v>
      </c>
      <c r="AD13" s="49" t="n">
        <v>10.44</v>
      </c>
      <c r="AE13" s="49" t="n">
        <v>9.84</v>
      </c>
    </row>
    <row r="14">
      <c r="A14" s="35" t="inlineStr">
        <is>
          <t>us30:RNG120</t>
        </is>
      </c>
      <c r="B14" s="49" t="n">
        <v>8.619999999999999</v>
      </c>
      <c r="C14" s="49" t="n">
        <v>8.93</v>
      </c>
      <c r="D14" s="49" t="n">
        <v>8.06</v>
      </c>
      <c r="E14" s="49" t="n">
        <v>8.68</v>
      </c>
      <c r="F14" s="49" t="n">
        <v>8.050000000000001</v>
      </c>
      <c r="G14" s="49" t="n">
        <v>7.15</v>
      </c>
      <c r="H14" s="49" t="n">
        <v>6.38</v>
      </c>
      <c r="I14" s="49" t="n">
        <v>6.87</v>
      </c>
      <c r="J14" s="49" t="n">
        <v>6.78</v>
      </c>
      <c r="K14" s="49" t="n">
        <v>6.2</v>
      </c>
      <c r="L14" s="49" t="n">
        <v>4.92</v>
      </c>
      <c r="M14" s="49" t="n">
        <v>5.43</v>
      </c>
      <c r="N14" s="49" t="n">
        <v>6.16</v>
      </c>
      <c r="O14" s="49" t="n">
        <v>7.05</v>
      </c>
      <c r="P14" s="49" t="n">
        <v>7.01</v>
      </c>
      <c r="Q14" s="49" t="n">
        <v>7.03</v>
      </c>
      <c r="R14" s="49" t="n">
        <v>7.81</v>
      </c>
      <c r="S14" s="49" t="n">
        <v>8.33</v>
      </c>
      <c r="T14" s="49" t="n">
        <v>8.49</v>
      </c>
      <c r="U14" s="49" t="n">
        <v>8.82</v>
      </c>
      <c r="V14" s="49" t="n">
        <v>9.800000000000001</v>
      </c>
      <c r="W14" s="49" t="n">
        <v>10.01</v>
      </c>
      <c r="X14" s="49" t="n">
        <v>11.09</v>
      </c>
      <c r="Y14" s="49" t="n">
        <v>11.62</v>
      </c>
      <c r="Z14" s="49" t="n">
        <v>10.68</v>
      </c>
      <c r="AA14" s="49" t="n">
        <v>9.029999999999999</v>
      </c>
      <c r="AB14" s="49" t="n">
        <v>8.68</v>
      </c>
      <c r="AC14" s="49" t="n">
        <v>7.77</v>
      </c>
      <c r="AD14" s="49" t="n">
        <v>10.07</v>
      </c>
      <c r="AE14" s="49" t="n">
        <v>10.2</v>
      </c>
    </row>
    <row r="15">
      <c r="A15" s="44" t="inlineStr">
        <is>
          <t>us30:MAIN_STOCK</t>
        </is>
      </c>
      <c r="B15" s="49" t="n">
        <v>-6.44</v>
      </c>
      <c r="C15" s="49" t="n">
        <v>-7.34</v>
      </c>
      <c r="D15" s="49" t="n">
        <v>-7.28</v>
      </c>
      <c r="E15" s="49" t="n">
        <v>-7.12</v>
      </c>
      <c r="F15" s="49" t="n">
        <v>-7.18</v>
      </c>
      <c r="G15" s="49" t="n">
        <v>-7.09</v>
      </c>
      <c r="H15" s="49" t="n">
        <v>-7.62</v>
      </c>
      <c r="I15" s="49" t="n">
        <v>-7.91</v>
      </c>
      <c r="J15" s="49" t="n">
        <v>-7.92</v>
      </c>
      <c r="K15" s="49" t="n">
        <v>-7.79</v>
      </c>
      <c r="L15" s="49" t="n">
        <v>-8.449999999999999</v>
      </c>
      <c r="M15" s="49" t="n">
        <v>-9.720000000000001</v>
      </c>
      <c r="N15" s="49" t="n">
        <v>-10.8</v>
      </c>
      <c r="O15" s="49" t="n">
        <v>-11.28</v>
      </c>
      <c r="P15" s="49" t="n">
        <v>-11.36</v>
      </c>
      <c r="Q15" s="49" t="n">
        <v>-11.41</v>
      </c>
      <c r="R15" s="49" t="n">
        <v>-11.91</v>
      </c>
      <c r="S15" s="49" t="n">
        <v>-11.95</v>
      </c>
      <c r="T15" s="49" t="n">
        <v>-12.57</v>
      </c>
      <c r="U15" s="49" t="n">
        <v>-13.28</v>
      </c>
      <c r="V15" s="49" t="n">
        <v>-14.04</v>
      </c>
      <c r="W15" s="49" t="n">
        <v>-13.99</v>
      </c>
      <c r="X15" s="49" t="n">
        <v>-13.92</v>
      </c>
      <c r="Y15" s="49" t="n">
        <v>-13.72</v>
      </c>
      <c r="Z15" s="49" t="n">
        <v>-13.33</v>
      </c>
      <c r="AA15" s="49" t="n">
        <v>-13.03</v>
      </c>
      <c r="AB15" s="49" t="n">
        <v>-13.11</v>
      </c>
      <c r="AC15" s="49" t="n">
        <v>-13.09</v>
      </c>
      <c r="AD15" s="49" t="n">
        <v>-13.95</v>
      </c>
      <c r="AE15" s="49" t="n">
        <v>-13.18</v>
      </c>
    </row>
    <row r="16">
      <c r="A16" s="35" t="inlineStr">
        <is>
          <t>us30:ORG_CHIP</t>
        </is>
      </c>
      <c r="B16" s="49" t="n">
        <v>77.26000000000001</v>
      </c>
      <c r="C16" s="49" t="n">
        <v>100</v>
      </c>
      <c r="D16" s="49" t="n">
        <v>100</v>
      </c>
      <c r="E16" s="49" t="n">
        <v>100</v>
      </c>
      <c r="F16" s="49" t="n">
        <v>100</v>
      </c>
      <c r="G16" s="49" t="n">
        <v>88.95999999999999</v>
      </c>
      <c r="H16" s="49" t="n">
        <v>95.03</v>
      </c>
      <c r="I16" s="49" t="n">
        <v>100</v>
      </c>
      <c r="J16" s="49" t="n">
        <v>100</v>
      </c>
      <c r="K16" s="49" t="n">
        <v>85.54000000000001</v>
      </c>
      <c r="L16" s="49" t="n">
        <v>73.69</v>
      </c>
      <c r="M16" s="49" t="n">
        <v>80.34</v>
      </c>
      <c r="N16" s="49" t="n">
        <v>94.25</v>
      </c>
      <c r="O16" s="49" t="n">
        <v>99.83</v>
      </c>
      <c r="P16" s="49" t="n">
        <v>99.2</v>
      </c>
      <c r="Q16" s="49" t="n">
        <v>92.2</v>
      </c>
      <c r="R16" s="49" t="n">
        <v>98.68000000000001</v>
      </c>
      <c r="S16" s="49" t="n">
        <v>90.27</v>
      </c>
      <c r="T16" s="49" t="n">
        <v>89.73999999999999</v>
      </c>
      <c r="U16" s="49" t="n">
        <v>89.84999999999999</v>
      </c>
      <c r="V16" s="49" t="n">
        <v>100</v>
      </c>
      <c r="W16" s="49" t="n">
        <v>99.29000000000001</v>
      </c>
      <c r="X16" s="49" t="n">
        <v>100</v>
      </c>
      <c r="Y16" s="49" t="n">
        <v>100</v>
      </c>
      <c r="Z16" s="49" t="n">
        <v>99.62</v>
      </c>
      <c r="AA16" s="49" t="n">
        <v>95.29000000000001</v>
      </c>
      <c r="AB16" s="49" t="n">
        <v>95.84999999999999</v>
      </c>
      <c r="AC16" s="49" t="n">
        <v>87.13</v>
      </c>
      <c r="AD16" s="49" t="n">
        <v>100</v>
      </c>
      <c r="AE16" s="49" t="n">
        <v>100</v>
      </c>
    </row>
    <row r="17">
      <c r="A17" s="35" t="inlineStr">
        <is>
          <t>ixic:EIDE</t>
        </is>
      </c>
      <c r="B17" s="46" t="inlineStr">
        <is>
          <t>green</t>
        </is>
      </c>
      <c r="C17" s="48" t="inlineStr">
        <is>
          <t>blue</t>
        </is>
      </c>
      <c r="D17" s="47" t="inlineStr">
        <is>
          <t>red</t>
        </is>
      </c>
      <c r="E17" s="48" t="inlineStr">
        <is>
          <t>blue</t>
        </is>
      </c>
      <c r="F17" s="48" t="inlineStr">
        <is>
          <t>blue</t>
        </is>
      </c>
      <c r="G17" s="48" t="inlineStr">
        <is>
          <t>blue</t>
        </is>
      </c>
      <c r="H17" s="47" t="inlineStr">
        <is>
          <t>red</t>
        </is>
      </c>
      <c r="I17" s="47" t="inlineStr">
        <is>
          <t>red</t>
        </is>
      </c>
      <c r="J17" s="47" t="inlineStr">
        <is>
          <t>red</t>
        </is>
      </c>
      <c r="K17" s="47" t="inlineStr">
        <is>
          <t>red</t>
        </is>
      </c>
      <c r="L17" s="46" t="inlineStr">
        <is>
          <t>green</t>
        </is>
      </c>
      <c r="M17" s="48" t="inlineStr">
        <is>
          <t>blue</t>
        </is>
      </c>
      <c r="N17" s="48" t="inlineStr">
        <is>
          <t>blue</t>
        </is>
      </c>
      <c r="O17" s="47" t="inlineStr">
        <is>
          <t>red</t>
        </is>
      </c>
      <c r="P17" s="47" t="inlineStr">
        <is>
          <t>red</t>
        </is>
      </c>
      <c r="Q17" s="47" t="inlineStr">
        <is>
          <t>red</t>
        </is>
      </c>
      <c r="R17" s="47" t="inlineStr">
        <is>
          <t>red</t>
        </is>
      </c>
      <c r="S17" s="48" t="inlineStr">
        <is>
          <t>blue</t>
        </is>
      </c>
      <c r="T17" s="46" t="inlineStr">
        <is>
          <t>green</t>
        </is>
      </c>
      <c r="U17" s="46" t="inlineStr">
        <is>
          <t>green</t>
        </is>
      </c>
      <c r="V17" s="46" t="inlineStr">
        <is>
          <t>green</t>
        </is>
      </c>
      <c r="W17" s="48" t="inlineStr">
        <is>
          <t>blue</t>
        </is>
      </c>
      <c r="X17" s="48" t="inlineStr">
        <is>
          <t>blue</t>
        </is>
      </c>
      <c r="Y17" s="47" t="inlineStr">
        <is>
          <t>red</t>
        </is>
      </c>
      <c r="Z17" s="47" t="inlineStr">
        <is>
          <t>red</t>
        </is>
      </c>
      <c r="AA17" s="47" t="inlineStr">
        <is>
          <t>red</t>
        </is>
      </c>
      <c r="AB17" s="47" t="inlineStr">
        <is>
          <t>red</t>
        </is>
      </c>
      <c r="AC17" s="48" t="inlineStr">
        <is>
          <t>blue</t>
        </is>
      </c>
      <c r="AD17" s="47" t="inlineStr">
        <is>
          <t>red</t>
        </is>
      </c>
      <c r="AE17" s="47" t="inlineStr">
        <is>
          <t>red</t>
        </is>
      </c>
    </row>
    <row r="18">
      <c r="A18" s="35" t="inlineStr">
        <is>
          <t>ixic:RNG60</t>
        </is>
      </c>
      <c r="B18" s="49" t="n">
        <v>4.34</v>
      </c>
      <c r="C18" s="49" t="n">
        <v>6.72</v>
      </c>
      <c r="D18" s="49" t="n">
        <v>8.279999999999999</v>
      </c>
      <c r="E18" s="49" t="n">
        <v>7.09</v>
      </c>
      <c r="F18" s="49" t="n">
        <v>7.68</v>
      </c>
      <c r="G18" s="49" t="n">
        <v>7.48</v>
      </c>
      <c r="H18" s="49" t="n">
        <v>7.57</v>
      </c>
      <c r="I18" s="49" t="n">
        <v>8.58</v>
      </c>
      <c r="J18" s="49" t="n">
        <v>7.6</v>
      </c>
      <c r="K18" s="49" t="n">
        <v>6.13</v>
      </c>
      <c r="L18" s="49" t="n">
        <v>3.85</v>
      </c>
      <c r="M18" s="49" t="n">
        <v>5.05</v>
      </c>
      <c r="N18" s="49" t="n">
        <v>5.01</v>
      </c>
      <c r="O18" s="49" t="n">
        <v>4.82</v>
      </c>
      <c r="P18" s="49" t="n">
        <v>5.12</v>
      </c>
      <c r="Q18" s="49" t="n">
        <v>4.26</v>
      </c>
      <c r="R18" s="49" t="n">
        <v>4.05</v>
      </c>
      <c r="S18" s="49" t="n">
        <v>2.28</v>
      </c>
      <c r="T18" s="49" t="n">
        <v>1.58</v>
      </c>
      <c r="U18" s="49" t="n">
        <v>3.3</v>
      </c>
      <c r="V18" s="49" t="n">
        <v>4.62</v>
      </c>
      <c r="W18" s="49" t="n">
        <v>6.43</v>
      </c>
      <c r="X18" s="49" t="n">
        <v>7.1</v>
      </c>
      <c r="Y18" s="49" t="n">
        <v>9.67</v>
      </c>
      <c r="Z18" s="49" t="n">
        <v>9.25</v>
      </c>
      <c r="AA18" s="49" t="n">
        <v>10.88</v>
      </c>
      <c r="AB18" s="49" t="n">
        <v>9.619999999999999</v>
      </c>
      <c r="AC18" s="49" t="n">
        <v>8.34</v>
      </c>
      <c r="AD18" s="49" t="n">
        <v>10.98</v>
      </c>
      <c r="AE18" s="49" t="n">
        <v>10.58</v>
      </c>
    </row>
    <row r="19">
      <c r="A19" s="35" t="inlineStr">
        <is>
          <t>ixic:RNG120</t>
        </is>
      </c>
      <c r="B19" s="49" t="n">
        <v>18.57</v>
      </c>
      <c r="C19" s="49" t="n">
        <v>21.27</v>
      </c>
      <c r="D19" s="49" t="n">
        <v>23.61</v>
      </c>
      <c r="E19" s="49" t="n">
        <v>22.24</v>
      </c>
      <c r="F19" s="49" t="n">
        <v>23.14</v>
      </c>
      <c r="G19" s="49" t="n">
        <v>22.92</v>
      </c>
      <c r="H19" s="49" t="n">
        <v>20.32</v>
      </c>
      <c r="I19" s="49" t="n">
        <v>16.9</v>
      </c>
      <c r="J19" s="49" t="n">
        <v>17.61</v>
      </c>
      <c r="K19" s="49" t="n">
        <v>15.96</v>
      </c>
      <c r="L19" s="49" t="n">
        <v>12.66</v>
      </c>
      <c r="M19" s="49" t="n">
        <v>12.24</v>
      </c>
      <c r="N19" s="49" t="n">
        <v>10.63</v>
      </c>
      <c r="O19" s="49" t="n">
        <v>10.33</v>
      </c>
      <c r="P19" s="49" t="n">
        <v>11.65</v>
      </c>
      <c r="Q19" s="49" t="n">
        <v>9.460000000000001</v>
      </c>
      <c r="R19" s="49" t="n">
        <v>8.67</v>
      </c>
      <c r="S19" s="49" t="n">
        <v>7.09</v>
      </c>
      <c r="T19" s="49" t="n">
        <v>7.61</v>
      </c>
      <c r="U19" s="49" t="n">
        <v>8.640000000000001</v>
      </c>
      <c r="V19" s="49" t="n">
        <v>11.7</v>
      </c>
      <c r="W19" s="49" t="n">
        <v>13.41</v>
      </c>
      <c r="X19" s="49" t="n">
        <v>15.59</v>
      </c>
      <c r="Y19" s="49" t="n">
        <v>13.46</v>
      </c>
      <c r="Z19" s="49" t="n">
        <v>14.03</v>
      </c>
      <c r="AA19" s="49" t="n">
        <v>13.57</v>
      </c>
      <c r="AB19" s="49" t="n">
        <v>14.29</v>
      </c>
      <c r="AC19" s="49" t="n">
        <v>13.12</v>
      </c>
      <c r="AD19" s="49" t="n">
        <v>13.05</v>
      </c>
      <c r="AE19" s="49" t="n">
        <v>12.81</v>
      </c>
    </row>
    <row r="20">
      <c r="A20" s="35" t="inlineStr">
        <is>
          <t>ixic:MAIN_STOCK</t>
        </is>
      </c>
      <c r="B20" s="49" t="n">
        <v>10.22</v>
      </c>
      <c r="C20" s="49" t="n">
        <v>7.35</v>
      </c>
      <c r="D20" s="49" t="n">
        <v>7.68</v>
      </c>
      <c r="E20" s="49" t="n">
        <v>9.23</v>
      </c>
      <c r="F20" s="49" t="n">
        <v>9.23</v>
      </c>
      <c r="G20" s="49" t="n">
        <v>9.779999999999999</v>
      </c>
      <c r="H20" s="49" t="n">
        <v>11.82</v>
      </c>
      <c r="I20" s="49" t="n">
        <v>15.02</v>
      </c>
      <c r="J20" s="49" t="n">
        <v>18.98</v>
      </c>
      <c r="K20" s="49" t="n">
        <v>23.37</v>
      </c>
      <c r="L20" s="49" t="n">
        <v>24.27</v>
      </c>
      <c r="M20" s="49" t="n">
        <v>23.38</v>
      </c>
      <c r="N20" s="49" t="n">
        <v>24.08</v>
      </c>
      <c r="O20" s="49" t="n">
        <v>25.34</v>
      </c>
      <c r="P20" s="49" t="n">
        <v>26.81</v>
      </c>
      <c r="Q20" s="49" t="n">
        <v>27.03</v>
      </c>
      <c r="R20" s="49" t="n">
        <v>26.3</v>
      </c>
      <c r="S20" s="49" t="n">
        <v>23.22</v>
      </c>
      <c r="T20" s="49" t="n">
        <v>16.27</v>
      </c>
      <c r="U20" s="49" t="n">
        <v>8.65</v>
      </c>
      <c r="V20" s="49" t="n">
        <v>1.93</v>
      </c>
      <c r="W20" s="49" t="n">
        <v>-1.93</v>
      </c>
      <c r="X20" s="49" t="n">
        <v>-3.09</v>
      </c>
      <c r="Y20" s="49" t="n">
        <v>-3.2</v>
      </c>
      <c r="Z20" s="49" t="n">
        <v>-2.92</v>
      </c>
      <c r="AA20" s="49" t="n">
        <v>-2.91</v>
      </c>
      <c r="AB20" s="49" t="n">
        <v>-3.35</v>
      </c>
      <c r="AC20" s="49" t="n">
        <v>-5.16</v>
      </c>
      <c r="AD20" s="49" t="n">
        <v>-6.69</v>
      </c>
      <c r="AE20" s="49" t="n">
        <v>-6.59</v>
      </c>
    </row>
    <row r="21">
      <c r="A21" s="35" t="inlineStr">
        <is>
          <t>ixic:ORG_CHIP</t>
        </is>
      </c>
      <c r="B21" s="49" t="n">
        <v>59.67</v>
      </c>
      <c r="C21" s="49" t="n">
        <v>89.73</v>
      </c>
      <c r="D21" s="49" t="n">
        <v>100</v>
      </c>
      <c r="E21" s="49" t="n">
        <v>94.66</v>
      </c>
      <c r="F21" s="49" t="n">
        <v>100</v>
      </c>
      <c r="G21" s="49" t="n">
        <v>100</v>
      </c>
      <c r="H21" s="49" t="n">
        <v>100</v>
      </c>
      <c r="I21" s="49" t="n">
        <v>100</v>
      </c>
      <c r="J21" s="49" t="n">
        <v>100</v>
      </c>
      <c r="K21" s="49" t="n">
        <v>93</v>
      </c>
      <c r="L21" s="49" t="n">
        <v>60.82</v>
      </c>
      <c r="M21" s="49" t="n">
        <v>75.09</v>
      </c>
      <c r="N21" s="49" t="n">
        <v>79.66</v>
      </c>
      <c r="O21" s="49" t="n">
        <v>79.25</v>
      </c>
      <c r="P21" s="49" t="n">
        <v>79.16</v>
      </c>
      <c r="Q21" s="49" t="n">
        <v>61.15</v>
      </c>
      <c r="R21" s="49" t="n">
        <v>58.91</v>
      </c>
      <c r="S21" s="49" t="n">
        <v>7.48</v>
      </c>
      <c r="T21" s="49" t="n">
        <v>17.5</v>
      </c>
      <c r="U21" s="49" t="n">
        <v>34.55</v>
      </c>
      <c r="V21" s="49" t="n">
        <v>60.05</v>
      </c>
      <c r="W21" s="49" t="n">
        <v>90</v>
      </c>
      <c r="X21" s="49" t="n">
        <v>99.58</v>
      </c>
      <c r="Y21" s="49" t="n">
        <v>100</v>
      </c>
      <c r="Z21" s="49" t="n">
        <v>100</v>
      </c>
      <c r="AA21" s="49" t="n">
        <v>98.91</v>
      </c>
      <c r="AB21" s="49" t="n">
        <v>95.83</v>
      </c>
      <c r="AC21" s="49" t="n">
        <v>76.15000000000001</v>
      </c>
      <c r="AD21" s="49" t="n">
        <v>100</v>
      </c>
      <c r="AE21" s="49" t="n">
        <v>100</v>
      </c>
    </row>
    <row r="22">
      <c r="A22" s="35" t="inlineStr">
        <is>
          <t>jp225:EIDE</t>
        </is>
      </c>
      <c r="B22" s="48" t="inlineStr">
        <is>
          <t>blue</t>
        </is>
      </c>
      <c r="C22" s="48" t="inlineStr">
        <is>
          <t>blue</t>
        </is>
      </c>
      <c r="D22" s="48" t="inlineStr">
        <is>
          <t>blue</t>
        </is>
      </c>
      <c r="E22" s="48" t="inlineStr">
        <is>
          <t>blue</t>
        </is>
      </c>
      <c r="F22" s="48" t="inlineStr">
        <is>
          <t>blue</t>
        </is>
      </c>
      <c r="G22" s="48" t="inlineStr">
        <is>
          <t>blue</t>
        </is>
      </c>
      <c r="H22" s="48" t="inlineStr">
        <is>
          <t>blue</t>
        </is>
      </c>
      <c r="I22" s="47" t="inlineStr">
        <is>
          <t>red</t>
        </is>
      </c>
      <c r="J22" s="48" t="inlineStr">
        <is>
          <t>blue</t>
        </is>
      </c>
      <c r="K22" s="48" t="inlineStr">
        <is>
          <t>blue</t>
        </is>
      </c>
      <c r="L22" s="48" t="inlineStr">
        <is>
          <t>blue</t>
        </is>
      </c>
      <c r="M22" s="48" t="inlineStr">
        <is>
          <t>blue</t>
        </is>
      </c>
      <c r="N22" s="47" t="inlineStr">
        <is>
          <t>red</t>
        </is>
      </c>
      <c r="O22" s="47" t="inlineStr">
        <is>
          <t>red</t>
        </is>
      </c>
      <c r="P22" s="47" t="inlineStr">
        <is>
          <t>red</t>
        </is>
      </c>
      <c r="Q22" s="47" t="inlineStr">
        <is>
          <t>red</t>
        </is>
      </c>
      <c r="R22" s="47" t="inlineStr">
        <is>
          <t>red</t>
        </is>
      </c>
      <c r="S22" s="48" t="inlineStr">
        <is>
          <t>blue</t>
        </is>
      </c>
      <c r="T22" s="46" t="inlineStr">
        <is>
          <t>green</t>
        </is>
      </c>
      <c r="U22" s="46" t="inlineStr">
        <is>
          <t>green</t>
        </is>
      </c>
      <c r="V22" s="46" t="inlineStr">
        <is>
          <t>green</t>
        </is>
      </c>
      <c r="W22" s="48" t="inlineStr">
        <is>
          <t>blue</t>
        </is>
      </c>
      <c r="X22" s="47" t="inlineStr">
        <is>
          <t>red</t>
        </is>
      </c>
      <c r="Y22" s="47" t="inlineStr">
        <is>
          <t>red</t>
        </is>
      </c>
      <c r="Z22" s="47" t="inlineStr">
        <is>
          <t>red</t>
        </is>
      </c>
      <c r="AA22" s="48" t="inlineStr">
        <is>
          <t>blue</t>
        </is>
      </c>
      <c r="AB22" s="48" t="inlineStr">
        <is>
          <t>blue</t>
        </is>
      </c>
      <c r="AC22" s="47" t="inlineStr">
        <is>
          <t>red</t>
        </is>
      </c>
      <c r="AD22" s="47" t="inlineStr">
        <is>
          <t>red</t>
        </is>
      </c>
      <c r="AE22" s="48" t="inlineStr">
        <is>
          <t>blue</t>
        </is>
      </c>
    </row>
    <row r="23">
      <c r="A23" s="44" t="inlineStr">
        <is>
          <t>jp225:RNG60</t>
        </is>
      </c>
      <c r="B23" s="49" t="n">
        <v>14.83</v>
      </c>
      <c r="C23" s="49" t="n">
        <v>16.87</v>
      </c>
      <c r="D23" s="49" t="n">
        <v>17.36</v>
      </c>
      <c r="E23" s="49" t="n">
        <v>15.36</v>
      </c>
      <c r="F23" s="49" t="n">
        <v>18.41</v>
      </c>
      <c r="G23" s="49" t="n">
        <v>15.85</v>
      </c>
      <c r="H23" s="49" t="n">
        <v>17.56</v>
      </c>
      <c r="I23" s="49" t="n">
        <v>17.9</v>
      </c>
      <c r="J23" s="49" t="n">
        <v>15.05</v>
      </c>
      <c r="K23" s="49" t="n">
        <v>12.84</v>
      </c>
      <c r="L23" s="49" t="n">
        <v>10.72</v>
      </c>
      <c r="M23" s="49" t="n">
        <v>11.17</v>
      </c>
      <c r="N23" s="49" t="n">
        <v>10.09</v>
      </c>
      <c r="O23" s="49" t="n">
        <v>7.86</v>
      </c>
      <c r="P23" s="49" t="n">
        <v>7.84</v>
      </c>
      <c r="Q23" s="49" t="n">
        <v>6.35</v>
      </c>
      <c r="R23" s="49" t="n">
        <v>8.09</v>
      </c>
      <c r="S23" s="49" t="n">
        <v>7.41</v>
      </c>
      <c r="T23" s="49" t="n">
        <v>9.050000000000001</v>
      </c>
      <c r="U23" s="49" t="n">
        <v>9.050000000000001</v>
      </c>
      <c r="V23" s="49" t="n">
        <v>9.050000000000001</v>
      </c>
      <c r="W23" s="49" t="n">
        <v>7.13</v>
      </c>
      <c r="X23" s="49" t="n">
        <v>5.6</v>
      </c>
      <c r="Y23" s="49" t="n">
        <v>5.72</v>
      </c>
      <c r="Z23" s="49" t="n">
        <v>4.5</v>
      </c>
      <c r="AA23" s="49" t="n">
        <v>2.64</v>
      </c>
      <c r="AB23" s="49" t="n">
        <v>1.41</v>
      </c>
      <c r="AC23" s="49" t="n">
        <v>3.93</v>
      </c>
      <c r="AD23" s="49" t="n">
        <v>1.99</v>
      </c>
      <c r="AE23" s="49" t="n">
        <v>-0.8</v>
      </c>
    </row>
    <row r="24">
      <c r="A24" s="35" t="inlineStr">
        <is>
          <t>jp225:RNG120</t>
        </is>
      </c>
      <c r="B24" s="49" t="n">
        <v>12.72</v>
      </c>
      <c r="C24" s="49" t="n">
        <v>12.15</v>
      </c>
      <c r="D24" s="49" t="n">
        <v>10.15</v>
      </c>
      <c r="E24" s="49" t="n">
        <v>6.79</v>
      </c>
      <c r="F24" s="49" t="n">
        <v>9.24</v>
      </c>
      <c r="G24" s="49" t="n">
        <v>10.58</v>
      </c>
      <c r="H24" s="49" t="n">
        <v>11.03</v>
      </c>
      <c r="I24" s="49" t="n">
        <v>11.87</v>
      </c>
      <c r="J24" s="49" t="n">
        <v>10.04</v>
      </c>
      <c r="K24" s="49" t="n">
        <v>8.460000000000001</v>
      </c>
      <c r="L24" s="49" t="n">
        <v>9.82</v>
      </c>
      <c r="M24" s="49" t="n">
        <v>9.630000000000001</v>
      </c>
      <c r="N24" s="49" t="n">
        <v>9.49</v>
      </c>
      <c r="O24" s="49" t="n">
        <v>8.210000000000001</v>
      </c>
      <c r="P24" s="49" t="n">
        <v>6.24</v>
      </c>
      <c r="Q24" s="49" t="n">
        <v>5.7</v>
      </c>
      <c r="R24" s="49" t="n">
        <v>4.03</v>
      </c>
      <c r="S24" s="49" t="n">
        <v>3.69</v>
      </c>
      <c r="T24" s="49" t="n">
        <v>2.78</v>
      </c>
      <c r="U24" s="49" t="n">
        <v>2.78</v>
      </c>
      <c r="V24" s="49" t="n">
        <v>2.78</v>
      </c>
      <c r="W24" s="49" t="n">
        <v>2.11</v>
      </c>
      <c r="X24" s="49" t="n">
        <v>0.6</v>
      </c>
      <c r="Y24" s="49" t="n">
        <v>0.77</v>
      </c>
      <c r="Z24" s="49" t="n">
        <v>-1.33</v>
      </c>
      <c r="AA24" s="49" t="n">
        <v>-0.2</v>
      </c>
      <c r="AB24" s="49" t="n">
        <v>-0.16</v>
      </c>
      <c r="AC24" s="49" t="n">
        <v>3.5</v>
      </c>
      <c r="AD24" s="49" t="n">
        <v>1.59</v>
      </c>
      <c r="AE24" s="49" t="n">
        <v>-0.07000000000000001</v>
      </c>
    </row>
    <row r="25">
      <c r="A25" s="35" t="inlineStr">
        <is>
          <t>jp225:MAIN_STOCK</t>
        </is>
      </c>
      <c r="B25" s="49" t="n">
        <v>2.76</v>
      </c>
      <c r="C25" s="49" t="n">
        <v>2.58</v>
      </c>
      <c r="D25" s="49" t="n">
        <v>1.87</v>
      </c>
      <c r="E25" s="49" t="n">
        <v>1.02</v>
      </c>
      <c r="F25" s="49" t="n">
        <v>-0.5600000000000001</v>
      </c>
      <c r="G25" s="49" t="n">
        <v>-1.09</v>
      </c>
      <c r="H25" s="49" t="n">
        <v>-1.64</v>
      </c>
      <c r="I25" s="49" t="n">
        <v>-1.51</v>
      </c>
      <c r="J25" s="49" t="n">
        <v>-0.25</v>
      </c>
      <c r="K25" s="49" t="n">
        <v>0.47</v>
      </c>
      <c r="L25" s="49" t="n">
        <v>-0.06</v>
      </c>
      <c r="M25" s="49" t="n">
        <v>-0.58</v>
      </c>
      <c r="N25" s="49" t="n">
        <v>1.21</v>
      </c>
      <c r="O25" s="49" t="n">
        <v>2.25</v>
      </c>
      <c r="P25" s="49" t="n">
        <v>3.84</v>
      </c>
      <c r="Q25" s="49" t="n">
        <v>5.62</v>
      </c>
      <c r="R25" s="49" t="n">
        <v>6.97</v>
      </c>
      <c r="S25" s="49" t="n">
        <v>7.86</v>
      </c>
      <c r="T25" s="49" t="n">
        <v>8.300000000000001</v>
      </c>
      <c r="U25" s="49" t="n">
        <v>8.300000000000001</v>
      </c>
      <c r="V25" s="49" t="n">
        <v>8.300000000000001</v>
      </c>
      <c r="W25" s="49" t="n">
        <v>8.390000000000001</v>
      </c>
      <c r="X25" s="49" t="n">
        <v>9.35</v>
      </c>
      <c r="Y25" s="49" t="n">
        <v>10.8</v>
      </c>
      <c r="Z25" s="49" t="n">
        <v>13.09</v>
      </c>
      <c r="AA25" s="49" t="n">
        <v>14.55</v>
      </c>
      <c r="AB25" s="49" t="n">
        <v>14.9</v>
      </c>
      <c r="AC25" s="49" t="n">
        <v>15.2</v>
      </c>
      <c r="AD25" s="49" t="n">
        <v>18.06</v>
      </c>
      <c r="AE25" s="49" t="n">
        <v>19.1</v>
      </c>
    </row>
    <row r="26">
      <c r="A26" s="35" t="inlineStr">
        <is>
          <t>jp225:ORG_CHIP</t>
        </is>
      </c>
      <c r="B26" s="49" t="n">
        <v>93.5</v>
      </c>
      <c r="C26" s="49" t="n">
        <v>87.98999999999999</v>
      </c>
      <c r="D26" s="49" t="n">
        <v>87.09999999999999</v>
      </c>
      <c r="E26" s="49" t="n">
        <v>80.26000000000001</v>
      </c>
      <c r="F26" s="49" t="n">
        <v>92.3</v>
      </c>
      <c r="G26" s="49" t="n">
        <v>92.05</v>
      </c>
      <c r="H26" s="49" t="n">
        <v>99.31999999999999</v>
      </c>
      <c r="I26" s="49" t="n">
        <v>100</v>
      </c>
      <c r="J26" s="49" t="n">
        <v>100</v>
      </c>
      <c r="K26" s="49" t="n">
        <v>88.22</v>
      </c>
      <c r="L26" s="49" t="n">
        <v>88.53</v>
      </c>
      <c r="M26" s="49" t="n">
        <v>92.34999999999999</v>
      </c>
      <c r="N26" s="49" t="n">
        <v>100</v>
      </c>
      <c r="O26" s="49" t="n">
        <v>100</v>
      </c>
      <c r="P26" s="49" t="n">
        <v>100</v>
      </c>
      <c r="Q26" s="49" t="n">
        <v>100</v>
      </c>
      <c r="R26" s="49" t="n">
        <v>87.79000000000001</v>
      </c>
      <c r="S26" s="49" t="n">
        <v>79.41</v>
      </c>
      <c r="T26" s="49" t="n">
        <v>73.37</v>
      </c>
      <c r="U26" s="49" t="n">
        <v>73.37</v>
      </c>
      <c r="V26" s="49" t="n">
        <v>73.37</v>
      </c>
      <c r="W26" s="49" t="n">
        <v>85.29000000000001</v>
      </c>
      <c r="X26" s="49" t="n">
        <v>90.40000000000001</v>
      </c>
      <c r="Y26" s="49" t="n">
        <v>100</v>
      </c>
      <c r="Z26" s="49" t="n">
        <v>74.83</v>
      </c>
      <c r="AA26" s="49" t="n">
        <v>65.53</v>
      </c>
      <c r="AB26" s="49" t="n">
        <v>63.89</v>
      </c>
      <c r="AC26" s="49" t="n">
        <v>100</v>
      </c>
      <c r="AD26" s="49" t="n">
        <v>74.23</v>
      </c>
      <c r="AE26" s="49" t="n">
        <v>45.02</v>
      </c>
    </row>
    <row r="27">
      <c r="A27" s="35" t="inlineStr">
        <is>
          <t>vn:EIDE</t>
        </is>
      </c>
      <c r="B27" s="46" t="inlineStr">
        <is>
          <t>green</t>
        </is>
      </c>
      <c r="C27" s="48" t="inlineStr">
        <is>
          <t>blue</t>
        </is>
      </c>
      <c r="D27" s="48" t="inlineStr">
        <is>
          <t>blue</t>
        </is>
      </c>
      <c r="E27" s="48" t="inlineStr">
        <is>
          <t>blue</t>
        </is>
      </c>
      <c r="F27" s="48" t="inlineStr">
        <is>
          <t>blue</t>
        </is>
      </c>
      <c r="G27" s="48" t="inlineStr">
        <is>
          <t>blue</t>
        </is>
      </c>
      <c r="H27" s="48" t="inlineStr">
        <is>
          <t>blue</t>
        </is>
      </c>
      <c r="I27" s="47" t="inlineStr">
        <is>
          <t>red</t>
        </is>
      </c>
      <c r="J27" s="47" t="inlineStr">
        <is>
          <t>red</t>
        </is>
      </c>
      <c r="K27" s="48" t="inlineStr">
        <is>
          <t>blue</t>
        </is>
      </c>
      <c r="L27" s="48" t="inlineStr">
        <is>
          <t>blue</t>
        </is>
      </c>
      <c r="M27" s="48" t="inlineStr">
        <is>
          <t>blue</t>
        </is>
      </c>
      <c r="N27" s="48" t="inlineStr">
        <is>
          <t>blue</t>
        </is>
      </c>
      <c r="O27" s="48" t="inlineStr">
        <is>
          <t>blue</t>
        </is>
      </c>
      <c r="P27" s="48" t="inlineStr">
        <is>
          <t>blue</t>
        </is>
      </c>
      <c r="Q27" s="48" t="inlineStr">
        <is>
          <t>blue</t>
        </is>
      </c>
      <c r="R27" s="47" t="inlineStr">
        <is>
          <t>red</t>
        </is>
      </c>
      <c r="S27" s="47" t="inlineStr">
        <is>
          <t>red</t>
        </is>
      </c>
      <c r="T27" s="47" t="inlineStr">
        <is>
          <t>red</t>
        </is>
      </c>
      <c r="U27" s="47" t="inlineStr">
        <is>
          <t>red</t>
        </is>
      </c>
      <c r="V27" s="47" t="inlineStr">
        <is>
          <t>red</t>
        </is>
      </c>
      <c r="W27" s="47" t="inlineStr">
        <is>
          <t>red</t>
        </is>
      </c>
      <c r="X27" s="47" t="inlineStr">
        <is>
          <t>red</t>
        </is>
      </c>
      <c r="Y27" s="47" t="inlineStr">
        <is>
          <t>red</t>
        </is>
      </c>
      <c r="Z27" s="47" t="inlineStr">
        <is>
          <t>red</t>
        </is>
      </c>
      <c r="AA27" s="48" t="inlineStr">
        <is>
          <t>blue</t>
        </is>
      </c>
      <c r="AB27" s="48" t="inlineStr">
        <is>
          <t>blue</t>
        </is>
      </c>
      <c r="AC27" s="48" t="inlineStr">
        <is>
          <t>blue</t>
        </is>
      </c>
      <c r="AD27" s="46" t="inlineStr">
        <is>
          <t>green</t>
        </is>
      </c>
      <c r="AE27" s="46" t="inlineStr">
        <is>
          <t>green</t>
        </is>
      </c>
    </row>
    <row r="28">
      <c r="A28" s="35" t="inlineStr">
        <is>
          <t>vn:RNG60</t>
        </is>
      </c>
      <c r="B28" s="49" t="n">
        <v>7.78</v>
      </c>
      <c r="C28" s="49" t="n">
        <v>8.26</v>
      </c>
      <c r="D28" s="49" t="n">
        <v>9.19</v>
      </c>
      <c r="E28" s="49" t="n">
        <v>9.32</v>
      </c>
      <c r="F28" s="49" t="n">
        <v>12.57</v>
      </c>
      <c r="G28" s="49" t="n">
        <v>14.08</v>
      </c>
      <c r="H28" s="49" t="n">
        <v>12.96</v>
      </c>
      <c r="I28" s="49" t="n">
        <v>11.53</v>
      </c>
      <c r="J28" s="49" t="n">
        <v>11.94</v>
      </c>
      <c r="K28" s="49" t="n">
        <v>6.12</v>
      </c>
      <c r="L28" s="49" t="n">
        <v>5.12</v>
      </c>
      <c r="M28" s="49" t="n">
        <v>6.36</v>
      </c>
      <c r="N28" s="49" t="n">
        <v>6.15</v>
      </c>
      <c r="O28" s="49" t="n">
        <v>5.33</v>
      </c>
      <c r="P28" s="49" t="n">
        <v>3.56</v>
      </c>
      <c r="Q28" s="49" t="n">
        <v>1.5</v>
      </c>
      <c r="R28" s="49" t="n">
        <v>0.47</v>
      </c>
      <c r="S28" s="49" t="n">
        <v>0.27</v>
      </c>
      <c r="T28" s="49" t="n">
        <v>-0.01</v>
      </c>
      <c r="U28" s="49" t="n">
        <v>0.04</v>
      </c>
      <c r="V28" s="49" t="n">
        <v>-0.5</v>
      </c>
      <c r="W28" s="49" t="n">
        <v>0.12</v>
      </c>
      <c r="X28" s="49" t="n">
        <v>1.35</v>
      </c>
      <c r="Y28" s="49" t="n">
        <v>-0.59</v>
      </c>
      <c r="Z28" s="49" t="n">
        <v>0.37</v>
      </c>
      <c r="AA28" s="49" t="n">
        <v>-4.43</v>
      </c>
      <c r="AB28" s="49" t="n">
        <v>-4.34</v>
      </c>
      <c r="AC28" s="49" t="n">
        <v>-4.6</v>
      </c>
      <c r="AD28" s="49" t="n">
        <v>-3.66</v>
      </c>
      <c r="AE28" s="49" t="n">
        <v>-5.32</v>
      </c>
    </row>
    <row r="29">
      <c r="A29" s="35" t="inlineStr">
        <is>
          <t>vn:RNG120</t>
        </is>
      </c>
      <c r="B29" s="49" t="n">
        <v>-5.51</v>
      </c>
      <c r="C29" s="49" t="n">
        <v>-3.36</v>
      </c>
      <c r="D29" s="49" t="n">
        <v>-4.72</v>
      </c>
      <c r="E29" s="49" t="n">
        <v>-5.36</v>
      </c>
      <c r="F29" s="49" t="n">
        <v>-5.72</v>
      </c>
      <c r="G29" s="49" t="n">
        <v>-4.32</v>
      </c>
      <c r="H29" s="49" t="n">
        <v>-2.76</v>
      </c>
      <c r="I29" s="49" t="n">
        <v>-3.08</v>
      </c>
      <c r="J29" s="49" t="n">
        <v>-2.96</v>
      </c>
      <c r="K29" s="49" t="n">
        <v>-4.4</v>
      </c>
      <c r="L29" s="49" t="n">
        <v>-3.74</v>
      </c>
      <c r="M29" s="49" t="n">
        <v>-2.86</v>
      </c>
      <c r="N29" s="49" t="n">
        <v>-3.45</v>
      </c>
      <c r="O29" s="49" t="n">
        <v>-2.39</v>
      </c>
      <c r="P29" s="49" t="n">
        <v>-2.05</v>
      </c>
      <c r="Q29" s="49" t="n">
        <v>-1.21</v>
      </c>
      <c r="R29" s="49" t="n">
        <v>-1.09</v>
      </c>
      <c r="S29" s="49" t="n">
        <v>-1.65</v>
      </c>
      <c r="T29" s="49" t="n">
        <v>-1.91</v>
      </c>
      <c r="U29" s="49" t="n">
        <v>-2.07</v>
      </c>
      <c r="V29" s="49" t="n">
        <v>-2.89</v>
      </c>
      <c r="W29" s="49" t="n">
        <v>-2.1</v>
      </c>
      <c r="X29" s="49" t="n">
        <v>-1.98</v>
      </c>
      <c r="Y29" s="49" t="n">
        <v>-2.35</v>
      </c>
      <c r="Z29" s="49" t="n">
        <v>-1.39</v>
      </c>
      <c r="AA29" s="49" t="n">
        <v>-2.78</v>
      </c>
      <c r="AB29" s="49" t="n">
        <v>-2.61</v>
      </c>
      <c r="AC29" s="49" t="n">
        <v>-2.2</v>
      </c>
      <c r="AD29" s="49" t="n">
        <v>-2.13</v>
      </c>
      <c r="AE29" s="49" t="n">
        <v>-2.98</v>
      </c>
    </row>
    <row r="30">
      <c r="A30" s="44" t="inlineStr">
        <is>
          <t>vn:MAIN_STOCK</t>
        </is>
      </c>
      <c r="B30" s="49" t="n">
        <v>-6.8</v>
      </c>
      <c r="C30" s="49" t="n">
        <v>-7.13</v>
      </c>
      <c r="D30" s="49" t="n">
        <v>-5.97</v>
      </c>
      <c r="E30" s="49" t="n">
        <v>-5</v>
      </c>
      <c r="F30" s="49" t="n">
        <v>-3.86</v>
      </c>
      <c r="G30" s="49" t="n">
        <v>-3.03</v>
      </c>
      <c r="H30" s="49" t="n">
        <v>-1.81</v>
      </c>
      <c r="I30" s="49" t="n">
        <v>0.04</v>
      </c>
      <c r="J30" s="49" t="n">
        <v>2.65</v>
      </c>
      <c r="K30" s="49" t="n">
        <v>5.98</v>
      </c>
      <c r="L30" s="49" t="n">
        <v>9.65</v>
      </c>
      <c r="M30" s="49" t="n">
        <v>13.12</v>
      </c>
      <c r="N30" s="49" t="n">
        <v>20.52</v>
      </c>
      <c r="O30" s="49" t="n">
        <v>24.44</v>
      </c>
      <c r="P30" s="49" t="n">
        <v>29.59</v>
      </c>
      <c r="Q30" s="49" t="n">
        <v>35.54</v>
      </c>
      <c r="R30" s="49" t="n">
        <v>42.05</v>
      </c>
      <c r="S30" s="49" t="n">
        <v>46.64</v>
      </c>
      <c r="T30" s="49" t="n">
        <v>50.15</v>
      </c>
      <c r="U30" s="49" t="n">
        <v>52.92</v>
      </c>
      <c r="V30" s="49" t="n">
        <v>55.49</v>
      </c>
      <c r="W30" s="49" t="n">
        <v>57.39</v>
      </c>
      <c r="X30" s="49" t="n">
        <v>59.35</v>
      </c>
      <c r="Y30" s="49" t="n">
        <v>61.21</v>
      </c>
      <c r="Z30" s="49" t="n">
        <v>62.4</v>
      </c>
      <c r="AA30" s="49" t="n">
        <v>64.45999999999999</v>
      </c>
      <c r="AB30" s="49" t="n">
        <v>64.47</v>
      </c>
      <c r="AC30" s="49" t="n">
        <v>64.44</v>
      </c>
      <c r="AD30" s="49" t="n">
        <v>64.2</v>
      </c>
      <c r="AE30" s="49" t="n">
        <v>63.63</v>
      </c>
    </row>
    <row r="31">
      <c r="A31" s="35" t="inlineStr">
        <is>
          <t>vn:ORG_CHIP</t>
        </is>
      </c>
      <c r="B31" s="49" t="n">
        <v>79.27</v>
      </c>
      <c r="C31" s="49" t="n">
        <v>96.81</v>
      </c>
      <c r="D31" s="49" t="n">
        <v>92.87</v>
      </c>
      <c r="E31" s="49" t="n">
        <v>92.84999999999999</v>
      </c>
      <c r="F31" s="49" t="n">
        <v>87.58</v>
      </c>
      <c r="G31" s="49" t="n">
        <v>90.17</v>
      </c>
      <c r="H31" s="49" t="n">
        <v>94.67</v>
      </c>
      <c r="I31" s="49" t="n">
        <v>100</v>
      </c>
      <c r="J31" s="49" t="n">
        <v>100</v>
      </c>
      <c r="K31" s="49" t="n">
        <v>100</v>
      </c>
      <c r="L31" s="49" t="n">
        <v>99.27</v>
      </c>
      <c r="M31" s="49" t="n">
        <v>100</v>
      </c>
      <c r="N31" s="49" t="n">
        <v>90.59</v>
      </c>
      <c r="O31" s="49" t="n">
        <v>100</v>
      </c>
      <c r="P31" s="49" t="n">
        <v>100</v>
      </c>
      <c r="Q31" s="49" t="n">
        <v>98.09</v>
      </c>
      <c r="R31" s="49" t="n">
        <v>100</v>
      </c>
      <c r="S31" s="49" t="n">
        <v>100</v>
      </c>
      <c r="T31" s="49" t="n">
        <v>100</v>
      </c>
      <c r="U31" s="49" t="n">
        <v>100</v>
      </c>
      <c r="V31" s="49" t="n">
        <v>100</v>
      </c>
      <c r="W31" s="49" t="n">
        <v>100</v>
      </c>
      <c r="X31" s="49" t="n">
        <v>100</v>
      </c>
      <c r="Y31" s="49" t="n">
        <v>89.62</v>
      </c>
      <c r="Z31" s="49" t="n">
        <v>90.09999999999999</v>
      </c>
      <c r="AA31" s="49" t="n">
        <v>54.77</v>
      </c>
      <c r="AB31" s="49" t="n">
        <v>53.61</v>
      </c>
      <c r="AC31" s="49" t="n">
        <v>50.53</v>
      </c>
      <c r="AD31" s="49" t="n">
        <v>42.32</v>
      </c>
      <c r="AE31" s="49" t="n">
        <v>34.19</v>
      </c>
    </row>
    <row r="32">
      <c r="A32" s="35" t="inlineStr">
        <is>
          <t>sensex:EIDE</t>
        </is>
      </c>
      <c r="B32" s="47" t="inlineStr">
        <is>
          <t>red</t>
        </is>
      </c>
      <c r="C32" s="48" t="inlineStr">
        <is>
          <t>blue</t>
        </is>
      </c>
      <c r="D32" s="47" t="inlineStr">
        <is>
          <t>red</t>
        </is>
      </c>
      <c r="E32" s="47" t="inlineStr">
        <is>
          <t>red</t>
        </is>
      </c>
      <c r="F32" s="46" t="inlineStr">
        <is>
          <t>green</t>
        </is>
      </c>
      <c r="G32" s="48" t="inlineStr">
        <is>
          <t>blue</t>
        </is>
      </c>
      <c r="H32" s="46" t="inlineStr">
        <is>
          <t>green</t>
        </is>
      </c>
      <c r="I32" s="46" t="inlineStr">
        <is>
          <t>green</t>
        </is>
      </c>
      <c r="J32" s="46" t="inlineStr">
        <is>
          <t>green</t>
        </is>
      </c>
      <c r="K32" s="46" t="inlineStr">
        <is>
          <t>green</t>
        </is>
      </c>
      <c r="L32" s="46" t="inlineStr">
        <is>
          <t>green</t>
        </is>
      </c>
      <c r="M32" s="47" t="inlineStr">
        <is>
          <t>red</t>
        </is>
      </c>
      <c r="N32" s="47" t="inlineStr">
        <is>
          <t>red</t>
        </is>
      </c>
      <c r="O32" s="47" t="inlineStr">
        <is>
          <t>red</t>
        </is>
      </c>
      <c r="P32" s="47" t="inlineStr">
        <is>
          <t>red</t>
        </is>
      </c>
      <c r="Q32" s="46" t="inlineStr">
        <is>
          <t>green</t>
        </is>
      </c>
      <c r="R32" s="46" t="inlineStr">
        <is>
          <t>green</t>
        </is>
      </c>
      <c r="S32" s="47" t="inlineStr">
        <is>
          <t>red</t>
        </is>
      </c>
      <c r="T32" s="47" t="inlineStr">
        <is>
          <t>red</t>
        </is>
      </c>
      <c r="U32" s="46" t="inlineStr">
        <is>
          <t>green</t>
        </is>
      </c>
      <c r="V32" s="48" t="inlineStr">
        <is>
          <t>blue</t>
        </is>
      </c>
      <c r="W32" s="48" t="inlineStr">
        <is>
          <t>blue</t>
        </is>
      </c>
      <c r="X32" s="47" t="inlineStr">
        <is>
          <t>red</t>
        </is>
      </c>
      <c r="Y32" s="47" t="inlineStr">
        <is>
          <t>red</t>
        </is>
      </c>
      <c r="Z32" s="47" t="inlineStr">
        <is>
          <t>red</t>
        </is>
      </c>
      <c r="AA32" s="47" t="inlineStr">
        <is>
          <t>red</t>
        </is>
      </c>
      <c r="AB32" s="48" t="inlineStr">
        <is>
          <t>blue</t>
        </is>
      </c>
      <c r="AC32" s="46" t="inlineStr">
        <is>
          <t>green</t>
        </is>
      </c>
      <c r="AD32" s="48" t="inlineStr">
        <is>
          <t>blue</t>
        </is>
      </c>
      <c r="AE32" s="48" t="inlineStr">
        <is>
          <t>blue</t>
        </is>
      </c>
    </row>
    <row r="33">
      <c r="A33" s="35" t="inlineStr">
        <is>
          <t>sensex:RNG60</t>
        </is>
      </c>
      <c r="B33" s="49" t="n">
        <v>3.16</v>
      </c>
      <c r="C33" s="49" t="n">
        <v>1.73</v>
      </c>
      <c r="D33" s="49" t="n">
        <v>2.88</v>
      </c>
      <c r="E33" s="49" t="n">
        <v>2.88</v>
      </c>
      <c r="F33" s="49" t="n">
        <v>1.25</v>
      </c>
      <c r="G33" s="49" t="n">
        <v>1.77</v>
      </c>
      <c r="H33" s="49" t="n">
        <v>1.22</v>
      </c>
      <c r="I33" s="49" t="n">
        <v>1.22</v>
      </c>
      <c r="J33" s="49" t="n">
        <v>2.91</v>
      </c>
      <c r="K33" s="49" t="n">
        <v>2.2</v>
      </c>
      <c r="L33" s="49" t="n">
        <v>3.18</v>
      </c>
      <c r="M33" s="49" t="n">
        <v>6.19</v>
      </c>
      <c r="N33" s="49" t="n">
        <v>8.33</v>
      </c>
      <c r="O33" s="49" t="n">
        <v>7.2</v>
      </c>
      <c r="P33" s="49" t="n">
        <v>8.289999999999999</v>
      </c>
      <c r="Q33" s="49" t="n">
        <v>8.210000000000001</v>
      </c>
      <c r="R33" s="49" t="n">
        <v>8.08</v>
      </c>
      <c r="S33" s="49" t="n">
        <v>9.09</v>
      </c>
      <c r="T33" s="49" t="n">
        <v>8.970000000000001</v>
      </c>
      <c r="U33" s="49" t="n">
        <v>8.68</v>
      </c>
      <c r="V33" s="49" t="n">
        <v>9.27</v>
      </c>
      <c r="W33" s="49" t="n">
        <v>10</v>
      </c>
      <c r="X33" s="49" t="n">
        <v>11.51</v>
      </c>
      <c r="Y33" s="49" t="n">
        <v>10.39</v>
      </c>
      <c r="Z33" s="49" t="n">
        <v>9.91</v>
      </c>
      <c r="AA33" s="49" t="n">
        <v>9.68</v>
      </c>
      <c r="AB33" s="49" t="n">
        <v>9.06</v>
      </c>
      <c r="AC33" s="49" t="n">
        <v>8.57</v>
      </c>
      <c r="AD33" s="49" t="n">
        <v>9.970000000000001</v>
      </c>
      <c r="AE33" s="49" t="n">
        <v>10.8</v>
      </c>
    </row>
    <row r="34">
      <c r="A34" s="35" t="inlineStr">
        <is>
          <t>sensex:RNG120</t>
        </is>
      </c>
      <c r="B34" s="49" t="n">
        <v>11.92</v>
      </c>
      <c r="C34" s="49" t="n">
        <v>11.53</v>
      </c>
      <c r="D34" s="49" t="n">
        <v>12.79</v>
      </c>
      <c r="E34" s="49" t="n">
        <v>12.79</v>
      </c>
      <c r="F34" s="49" t="n">
        <v>11.96</v>
      </c>
      <c r="G34" s="49" t="n">
        <v>12.53</v>
      </c>
      <c r="H34" s="49" t="n">
        <v>9.869999999999999</v>
      </c>
      <c r="I34" s="49" t="n">
        <v>9.869999999999999</v>
      </c>
      <c r="J34" s="49" t="n">
        <v>11.01</v>
      </c>
      <c r="K34" s="49" t="n">
        <v>10.24</v>
      </c>
      <c r="L34" s="49" t="n">
        <v>9.33</v>
      </c>
      <c r="M34" s="49" t="n">
        <v>11.43</v>
      </c>
      <c r="N34" s="49" t="n">
        <v>9.24</v>
      </c>
      <c r="O34" s="49" t="n">
        <v>8.390000000000001</v>
      </c>
      <c r="P34" s="49" t="n">
        <v>8.109999999999999</v>
      </c>
      <c r="Q34" s="49" t="n">
        <v>7.5</v>
      </c>
      <c r="R34" s="49" t="n">
        <v>7.34</v>
      </c>
      <c r="S34" s="49" t="n">
        <v>9</v>
      </c>
      <c r="T34" s="49" t="n">
        <v>9.67</v>
      </c>
      <c r="U34" s="49" t="n">
        <v>8.119999999999999</v>
      </c>
      <c r="V34" s="49" t="n">
        <v>9.539999999999999</v>
      </c>
      <c r="W34" s="49" t="n">
        <v>10.27</v>
      </c>
      <c r="X34" s="49" t="n">
        <v>10</v>
      </c>
      <c r="Y34" s="49" t="n">
        <v>9.970000000000001</v>
      </c>
      <c r="Z34" s="49" t="n">
        <v>7.89</v>
      </c>
      <c r="AA34" s="49" t="n">
        <v>7.83</v>
      </c>
      <c r="AB34" s="49" t="n">
        <v>7.33</v>
      </c>
      <c r="AC34" s="49" t="n">
        <v>6.81</v>
      </c>
      <c r="AD34" s="49" t="n">
        <v>7.86</v>
      </c>
      <c r="AE34" s="49" t="n">
        <v>6.76</v>
      </c>
    </row>
    <row r="35">
      <c r="A35" s="35" t="inlineStr">
        <is>
          <t>sensex:MAIN_STOCK</t>
        </is>
      </c>
      <c r="B35" s="49" t="n">
        <v>28.19</v>
      </c>
      <c r="C35" s="49" t="n">
        <v>27.5</v>
      </c>
      <c r="D35" s="49" t="n">
        <v>25.64</v>
      </c>
      <c r="E35" s="49" t="n">
        <v>25.64</v>
      </c>
      <c r="F35" s="49" t="n">
        <v>25.43</v>
      </c>
      <c r="G35" s="49" t="n">
        <v>22.51</v>
      </c>
      <c r="H35" s="49" t="n">
        <v>20.09</v>
      </c>
      <c r="I35" s="49" t="n">
        <v>20.09</v>
      </c>
      <c r="J35" s="49" t="n">
        <v>14.3</v>
      </c>
      <c r="K35" s="49" t="n">
        <v>12.66</v>
      </c>
      <c r="L35" s="49" t="n">
        <v>7.33</v>
      </c>
      <c r="M35" s="49" t="n">
        <v>5.02</v>
      </c>
      <c r="N35" s="49" t="n">
        <v>8.609999999999999</v>
      </c>
      <c r="O35" s="49" t="n">
        <v>9.44</v>
      </c>
      <c r="P35" s="49" t="n">
        <v>8.6</v>
      </c>
      <c r="Q35" s="49" t="n">
        <v>6.9</v>
      </c>
      <c r="R35" s="49" t="n">
        <v>4.34</v>
      </c>
      <c r="S35" s="49" t="n">
        <v>2.77</v>
      </c>
      <c r="T35" s="49" t="n">
        <v>2.12</v>
      </c>
      <c r="U35" s="49" t="n">
        <v>0.06</v>
      </c>
      <c r="V35" s="49" t="n">
        <v>-2.39</v>
      </c>
      <c r="W35" s="49" t="n">
        <v>-3.5</v>
      </c>
      <c r="X35" s="49" t="n">
        <v>-3.15</v>
      </c>
      <c r="Y35" s="49" t="n">
        <v>-2.25</v>
      </c>
      <c r="Z35" s="49" t="n">
        <v>-2</v>
      </c>
      <c r="AA35" s="49" t="n">
        <v>-3.06</v>
      </c>
      <c r="AB35" s="49" t="n">
        <v>-5.13</v>
      </c>
      <c r="AC35" s="49" t="n">
        <v>-8.630000000000001</v>
      </c>
      <c r="AD35" s="49" t="n">
        <v>-11.18</v>
      </c>
      <c r="AE35" s="49" t="n">
        <v>-11.79</v>
      </c>
    </row>
    <row r="36">
      <c r="A36" s="35" t="inlineStr">
        <is>
          <t>sensex:ORG_CHIP</t>
        </is>
      </c>
      <c r="B36" s="49" t="n">
        <v>52.63</v>
      </c>
      <c r="C36" s="49" t="n">
        <v>34.22</v>
      </c>
      <c r="D36" s="49" t="n">
        <v>58.32</v>
      </c>
      <c r="E36" s="49" t="n">
        <v>58.32</v>
      </c>
      <c r="F36" s="49" t="n">
        <v>21.02</v>
      </c>
      <c r="G36" s="49" t="n">
        <v>31.83</v>
      </c>
      <c r="H36" s="49" t="n">
        <v>4.4</v>
      </c>
      <c r="I36" s="49" t="n">
        <v>4.4</v>
      </c>
      <c r="J36" s="49" t="n">
        <v>38.23</v>
      </c>
      <c r="K36" s="49" t="n">
        <v>19.58</v>
      </c>
      <c r="L36" s="49" t="n">
        <v>17.58</v>
      </c>
      <c r="M36" s="49" t="n">
        <v>91.40000000000001</v>
      </c>
      <c r="N36" s="49" t="n">
        <v>100</v>
      </c>
      <c r="O36" s="49" t="n">
        <v>72.31999999999999</v>
      </c>
      <c r="P36" s="49" t="n">
        <v>69.77</v>
      </c>
      <c r="Q36" s="49" t="n">
        <v>58.87</v>
      </c>
      <c r="R36" s="49" t="n">
        <v>57.62</v>
      </c>
      <c r="S36" s="49" t="n">
        <v>84.56999999999999</v>
      </c>
      <c r="T36" s="49" t="n">
        <v>83</v>
      </c>
      <c r="U36" s="49" t="n">
        <v>68.16</v>
      </c>
      <c r="V36" s="49" t="n">
        <v>84.34999999999999</v>
      </c>
      <c r="W36" s="49" t="n">
        <v>94.86</v>
      </c>
      <c r="X36" s="49" t="n">
        <v>100</v>
      </c>
      <c r="Y36" s="49" t="n">
        <v>100</v>
      </c>
      <c r="Z36" s="49" t="n">
        <v>95.42</v>
      </c>
      <c r="AA36" s="49" t="n">
        <v>91.31</v>
      </c>
      <c r="AB36" s="49" t="n">
        <v>87.31</v>
      </c>
      <c r="AC36" s="49" t="n">
        <v>80.87</v>
      </c>
      <c r="AD36" s="49" t="n">
        <v>99.17</v>
      </c>
      <c r="AE36" s="49" t="n">
        <v>96.98</v>
      </c>
    </row>
    <row r="37">
      <c r="A37" s="35" t="inlineStr">
        <is>
          <t>fr40:EIDE</t>
        </is>
      </c>
      <c r="B37" s="47" t="inlineStr">
        <is>
          <t>red</t>
        </is>
      </c>
      <c r="C37" s="47" t="inlineStr">
        <is>
          <t>red</t>
        </is>
      </c>
      <c r="D37" s="47" t="inlineStr">
        <is>
          <t>red</t>
        </is>
      </c>
      <c r="E37" s="47" t="inlineStr">
        <is>
          <t>red</t>
        </is>
      </c>
      <c r="F37" s="47" t="inlineStr">
        <is>
          <t>red</t>
        </is>
      </c>
      <c r="G37" s="47" t="inlineStr">
        <is>
          <t>red</t>
        </is>
      </c>
      <c r="H37" s="48" t="inlineStr">
        <is>
          <t>blue</t>
        </is>
      </c>
      <c r="I37" s="48" t="inlineStr">
        <is>
          <t>blue</t>
        </is>
      </c>
      <c r="J37" s="48" t="inlineStr">
        <is>
          <t>blue</t>
        </is>
      </c>
      <c r="K37" s="48" t="inlineStr">
        <is>
          <t>blue</t>
        </is>
      </c>
      <c r="L37" s="46" t="inlineStr">
        <is>
          <t>green</t>
        </is>
      </c>
      <c r="M37" s="48" t="inlineStr">
        <is>
          <t>blue</t>
        </is>
      </c>
      <c r="N37" s="47" t="inlineStr">
        <is>
          <t>red</t>
        </is>
      </c>
      <c r="O37" s="46" t="inlineStr">
        <is>
          <t>green</t>
        </is>
      </c>
      <c r="P37" s="48" t="inlineStr">
        <is>
          <t>blue</t>
        </is>
      </c>
      <c r="Q37" s="48" t="inlineStr">
        <is>
          <t>blue</t>
        </is>
      </c>
      <c r="R37" s="48" t="inlineStr">
        <is>
          <t>blue</t>
        </is>
      </c>
      <c r="S37" s="46" t="inlineStr">
        <is>
          <t>green</t>
        </is>
      </c>
      <c r="T37" s="46" t="inlineStr">
        <is>
          <t>green</t>
        </is>
      </c>
      <c r="U37" s="46" t="inlineStr">
        <is>
          <t>green</t>
        </is>
      </c>
      <c r="V37" s="46" t="inlineStr">
        <is>
          <t>green</t>
        </is>
      </c>
      <c r="W37" s="48" t="inlineStr">
        <is>
          <t>blue</t>
        </is>
      </c>
      <c r="X37" s="48" t="inlineStr">
        <is>
          <t>blue</t>
        </is>
      </c>
      <c r="Y37" s="48" t="inlineStr">
        <is>
          <t>blue</t>
        </is>
      </c>
      <c r="Z37" s="48" t="inlineStr">
        <is>
          <t>blue</t>
        </is>
      </c>
      <c r="AA37" s="48" t="inlineStr">
        <is>
          <t>blue</t>
        </is>
      </c>
      <c r="AB37" s="48" t="inlineStr">
        <is>
          <t>blue</t>
        </is>
      </c>
      <c r="AC37" s="48" t="inlineStr">
        <is>
          <t>blue</t>
        </is>
      </c>
      <c r="AD37" s="48" t="inlineStr">
        <is>
          <t>blue</t>
        </is>
      </c>
      <c r="AE37" s="48" t="inlineStr">
        <is>
          <t>blue</t>
        </is>
      </c>
    </row>
    <row r="38">
      <c r="A38" s="35" t="inlineStr">
        <is>
          <t>fr40:RNG60</t>
        </is>
      </c>
      <c r="B38" s="49" t="n">
        <v>8.640000000000001</v>
      </c>
      <c r="C38" s="49" t="n">
        <v>8.74</v>
      </c>
      <c r="D38" s="49" t="n">
        <v>10.22</v>
      </c>
      <c r="E38" s="49" t="n">
        <v>10.87</v>
      </c>
      <c r="F38" s="49" t="n">
        <v>9.359999999999999</v>
      </c>
      <c r="G38" s="49" t="n">
        <v>9.720000000000001</v>
      </c>
      <c r="H38" s="49" t="n">
        <v>7.24</v>
      </c>
      <c r="I38" s="49" t="n">
        <v>7.2</v>
      </c>
      <c r="J38" s="49" t="n">
        <v>6.93</v>
      </c>
      <c r="K38" s="49" t="n">
        <v>8.039999999999999</v>
      </c>
      <c r="L38" s="49" t="n">
        <v>7.37</v>
      </c>
      <c r="M38" s="49" t="n">
        <v>6.89</v>
      </c>
      <c r="N38" s="49" t="n">
        <v>6.19</v>
      </c>
      <c r="O38" s="49" t="n">
        <v>5.2</v>
      </c>
      <c r="P38" s="49" t="n">
        <v>6.03</v>
      </c>
      <c r="Q38" s="49" t="n">
        <v>4.53</v>
      </c>
      <c r="R38" s="49" t="n">
        <v>4.47</v>
      </c>
      <c r="S38" s="49" t="n">
        <v>3.61</v>
      </c>
      <c r="T38" s="49" t="n">
        <v>6.11</v>
      </c>
      <c r="U38" s="49" t="n">
        <v>4.98</v>
      </c>
      <c r="V38" s="49" t="n">
        <v>7.61</v>
      </c>
      <c r="W38" s="49" t="n">
        <v>7.81</v>
      </c>
      <c r="X38" s="49" t="n">
        <v>7.69</v>
      </c>
      <c r="Y38" s="49" t="n">
        <v>7.13</v>
      </c>
      <c r="Z38" s="49" t="n">
        <v>7.13</v>
      </c>
      <c r="AA38" s="49" t="n">
        <v>6.08</v>
      </c>
      <c r="AB38" s="49" t="n">
        <v>6.4</v>
      </c>
      <c r="AC38" s="49" t="n">
        <v>7.23</v>
      </c>
      <c r="AD38" s="49" t="n">
        <v>7.08</v>
      </c>
      <c r="AE38" s="49" t="n">
        <v>6.25</v>
      </c>
    </row>
    <row r="39">
      <c r="A39" s="35" t="inlineStr">
        <is>
          <t>fr40:RNG120</t>
        </is>
      </c>
      <c r="B39" s="49" t="n">
        <v>4.31</v>
      </c>
      <c r="C39" s="49" t="n">
        <v>3.28</v>
      </c>
      <c r="D39" s="49" t="n">
        <v>4.35</v>
      </c>
      <c r="E39" s="49" t="n">
        <v>5.02</v>
      </c>
      <c r="F39" s="49" t="n">
        <v>1.97</v>
      </c>
      <c r="G39" s="49" t="n">
        <v>1.92</v>
      </c>
      <c r="H39" s="49" t="n">
        <v>1.76</v>
      </c>
      <c r="I39" s="49" t="n">
        <v>1.37</v>
      </c>
      <c r="J39" s="49" t="n">
        <v>-0.47</v>
      </c>
      <c r="K39" s="49" t="n">
        <v>-1.29</v>
      </c>
      <c r="L39" s="49" t="n">
        <v>-2.11</v>
      </c>
      <c r="M39" s="49" t="n">
        <v>-0.9</v>
      </c>
      <c r="N39" s="49" t="n">
        <v>0.67</v>
      </c>
      <c r="O39" s="49" t="n">
        <v>-0.53</v>
      </c>
      <c r="P39" s="49" t="n">
        <v>-0.09</v>
      </c>
      <c r="Q39" s="49" t="n">
        <v>0.5600000000000001</v>
      </c>
      <c r="R39" s="49" t="n">
        <v>1.68</v>
      </c>
      <c r="S39" s="49" t="n">
        <v>1.39</v>
      </c>
      <c r="T39" s="49" t="n">
        <v>2.18</v>
      </c>
      <c r="U39" s="49" t="n">
        <v>0.51</v>
      </c>
      <c r="V39" s="49" t="n">
        <v>2.19</v>
      </c>
      <c r="W39" s="49" t="n">
        <v>2.87</v>
      </c>
      <c r="X39" s="49" t="n">
        <v>4.36</v>
      </c>
      <c r="Y39" s="49" t="n">
        <v>5.99</v>
      </c>
      <c r="Z39" s="49" t="n">
        <v>5.99</v>
      </c>
      <c r="AA39" s="49" t="n">
        <v>6.43</v>
      </c>
      <c r="AB39" s="49" t="n">
        <v>6.91</v>
      </c>
      <c r="AC39" s="49" t="n">
        <v>3.73</v>
      </c>
      <c r="AD39" s="49" t="n">
        <v>2.78</v>
      </c>
      <c r="AE39" s="49" t="n">
        <v>2.47</v>
      </c>
    </row>
    <row r="40">
      <c r="A40" s="35" t="inlineStr">
        <is>
          <t>fr40:MAIN_STOCK</t>
        </is>
      </c>
      <c r="B40" s="49" t="n">
        <v>8.33</v>
      </c>
      <c r="C40" s="49" t="n">
        <v>10</v>
      </c>
      <c r="D40" s="49" t="n">
        <v>12.52</v>
      </c>
      <c r="E40" s="49" t="n">
        <v>15.22</v>
      </c>
      <c r="F40" s="49" t="n">
        <v>18.09</v>
      </c>
      <c r="G40" s="49" t="n">
        <v>18.22</v>
      </c>
      <c r="H40" s="49" t="n">
        <v>18.23</v>
      </c>
      <c r="I40" s="49" t="n">
        <v>17.05</v>
      </c>
      <c r="J40" s="49" t="n">
        <v>16.21</v>
      </c>
      <c r="K40" s="49" t="n">
        <v>14.56</v>
      </c>
      <c r="L40" s="49" t="n">
        <v>13.31</v>
      </c>
      <c r="M40" s="49" t="n">
        <v>10.46</v>
      </c>
      <c r="N40" s="49" t="n">
        <v>7.21</v>
      </c>
      <c r="O40" s="49" t="n">
        <v>6.47</v>
      </c>
      <c r="P40" s="49" t="n">
        <v>4.3</v>
      </c>
      <c r="Q40" s="49" t="n">
        <v>2.64</v>
      </c>
      <c r="R40" s="49" t="n">
        <v>0.86</v>
      </c>
      <c r="S40" s="49" t="n">
        <v>-0.62</v>
      </c>
      <c r="T40" s="49" t="n">
        <v>-2.73</v>
      </c>
      <c r="U40" s="49" t="n">
        <v>-4.47</v>
      </c>
      <c r="V40" s="49" t="n">
        <v>-7.02</v>
      </c>
      <c r="W40" s="49" t="n">
        <v>-7.63</v>
      </c>
      <c r="X40" s="49" t="n">
        <v>-8.02</v>
      </c>
      <c r="Y40" s="49" t="n">
        <v>-8.52</v>
      </c>
      <c r="Z40" s="49" t="n">
        <v>-8.52</v>
      </c>
      <c r="AA40" s="49" t="n">
        <v>-8.35</v>
      </c>
      <c r="AB40" s="49" t="n">
        <v>-8.140000000000001</v>
      </c>
      <c r="AC40" s="49" t="n">
        <v>-7.79</v>
      </c>
      <c r="AD40" s="49" t="n">
        <v>-7.12</v>
      </c>
      <c r="AE40" s="49" t="n">
        <v>-6.46</v>
      </c>
    </row>
    <row r="41">
      <c r="A41" s="35" t="inlineStr">
        <is>
          <t>fr40:ORG_CHIP</t>
        </is>
      </c>
      <c r="B41" s="49" t="n">
        <v>94.77</v>
      </c>
      <c r="C41" s="49" t="n">
        <v>100</v>
      </c>
      <c r="D41" s="49" t="n">
        <v>100</v>
      </c>
      <c r="E41" s="49" t="n">
        <v>100</v>
      </c>
      <c r="F41" s="49" t="n">
        <v>57.98</v>
      </c>
      <c r="G41" s="49" t="n">
        <v>55.27</v>
      </c>
      <c r="H41" s="49" t="n">
        <v>33.86</v>
      </c>
      <c r="I41" s="49" t="n">
        <v>41.84</v>
      </c>
      <c r="J41" s="49" t="n">
        <v>28.67</v>
      </c>
      <c r="K41" s="49" t="n">
        <v>38.08</v>
      </c>
      <c r="L41" s="49" t="n">
        <v>11.9</v>
      </c>
      <c r="M41" s="49" t="n">
        <v>29.89</v>
      </c>
      <c r="N41" s="49" t="n">
        <v>62.93</v>
      </c>
      <c r="O41" s="49" t="n">
        <v>45.38</v>
      </c>
      <c r="P41" s="49" t="n">
        <v>55.42</v>
      </c>
      <c r="Q41" s="49" t="n">
        <v>55.56</v>
      </c>
      <c r="R41" s="49" t="n">
        <v>61.72</v>
      </c>
      <c r="S41" s="49" t="n">
        <v>54.01</v>
      </c>
      <c r="T41" s="49" t="n">
        <v>61.82</v>
      </c>
      <c r="U41" s="49" t="n">
        <v>51.71</v>
      </c>
      <c r="V41" s="49" t="n">
        <v>83.5</v>
      </c>
      <c r="W41" s="49" t="n">
        <v>87.45999999999999</v>
      </c>
      <c r="X41" s="49" t="n">
        <v>85.59</v>
      </c>
      <c r="Y41" s="49" t="n">
        <v>95.12</v>
      </c>
      <c r="Z41" s="49" t="n">
        <v>95.12</v>
      </c>
      <c r="AA41" s="49" t="n">
        <v>94.81</v>
      </c>
      <c r="AB41" s="49" t="n">
        <v>95.68000000000001</v>
      </c>
      <c r="AC41" s="49" t="n">
        <v>97.72</v>
      </c>
      <c r="AD41" s="49" t="n">
        <v>96.56</v>
      </c>
      <c r="AE41" s="49" t="n">
        <v>95.66</v>
      </c>
    </row>
    <row r="42">
      <c r="A42" s="35" t="inlineStr">
        <is>
          <t>dax30:EIDE</t>
        </is>
      </c>
      <c r="B42" s="48" t="inlineStr">
        <is>
          <t>blue</t>
        </is>
      </c>
      <c r="C42" s="47" t="inlineStr">
        <is>
          <t>red</t>
        </is>
      </c>
      <c r="D42" s="47" t="inlineStr">
        <is>
          <t>red</t>
        </is>
      </c>
      <c r="E42" s="47" t="inlineStr">
        <is>
          <t>red</t>
        </is>
      </c>
      <c r="F42" s="47" t="inlineStr">
        <is>
          <t>red</t>
        </is>
      </c>
      <c r="G42" s="47" t="inlineStr">
        <is>
          <t>red</t>
        </is>
      </c>
      <c r="H42" s="47" t="inlineStr">
        <is>
          <t>red</t>
        </is>
      </c>
      <c r="I42" s="47" t="inlineStr">
        <is>
          <t>red</t>
        </is>
      </c>
      <c r="J42" s="48" t="inlineStr">
        <is>
          <t>blue</t>
        </is>
      </c>
      <c r="K42" s="48" t="inlineStr">
        <is>
          <t>blue</t>
        </is>
      </c>
      <c r="L42" s="46" t="inlineStr">
        <is>
          <t>green</t>
        </is>
      </c>
      <c r="M42" s="46" t="inlineStr">
        <is>
          <t>green</t>
        </is>
      </c>
      <c r="N42" s="47" t="inlineStr">
        <is>
          <t>red</t>
        </is>
      </c>
      <c r="O42" s="46" t="inlineStr">
        <is>
          <t>green</t>
        </is>
      </c>
      <c r="P42" s="47" t="inlineStr">
        <is>
          <t>red</t>
        </is>
      </c>
      <c r="Q42" s="47" t="inlineStr">
        <is>
          <t>red</t>
        </is>
      </c>
      <c r="R42" s="47" t="inlineStr">
        <is>
          <t>red</t>
        </is>
      </c>
      <c r="S42" s="46" t="inlineStr">
        <is>
          <t>green</t>
        </is>
      </c>
      <c r="T42" s="46" t="inlineStr">
        <is>
          <t>green</t>
        </is>
      </c>
      <c r="U42" s="46" t="inlineStr">
        <is>
          <t>green</t>
        </is>
      </c>
      <c r="V42" s="47" t="inlineStr">
        <is>
          <t>red</t>
        </is>
      </c>
      <c r="W42" s="47" t="inlineStr">
        <is>
          <t>red</t>
        </is>
      </c>
      <c r="X42" s="48" t="inlineStr">
        <is>
          <t>blue</t>
        </is>
      </c>
      <c r="Y42" s="48" t="inlineStr">
        <is>
          <t>blue</t>
        </is>
      </c>
      <c r="Z42" s="48" t="inlineStr">
        <is>
          <t>blue</t>
        </is>
      </c>
      <c r="AA42" s="48" t="inlineStr">
        <is>
          <t>blue</t>
        </is>
      </c>
      <c r="AB42" s="48" t="inlineStr">
        <is>
          <t>blue</t>
        </is>
      </c>
      <c r="AC42" s="48" t="inlineStr">
        <is>
          <t>blue</t>
        </is>
      </c>
      <c r="AD42" s="48" t="inlineStr">
        <is>
          <t>blue</t>
        </is>
      </c>
      <c r="AE42" s="48" t="inlineStr">
        <is>
          <t>blue</t>
        </is>
      </c>
    </row>
    <row r="43">
      <c r="A43" s="44" t="inlineStr">
        <is>
          <t>dax30:RNG60</t>
        </is>
      </c>
      <c r="B43" s="49" t="n">
        <v>11.29</v>
      </c>
      <c r="C43" s="49" t="n">
        <v>12.08</v>
      </c>
      <c r="D43" s="49" t="n">
        <v>13.53</v>
      </c>
      <c r="E43" s="49" t="n">
        <v>14.52</v>
      </c>
      <c r="F43" s="49" t="n">
        <v>14.88</v>
      </c>
      <c r="G43" s="49" t="n">
        <v>15</v>
      </c>
      <c r="H43" s="49" t="n">
        <v>12.87</v>
      </c>
      <c r="I43" s="49" t="n">
        <v>12.03</v>
      </c>
      <c r="J43" s="49" t="n">
        <v>11.26</v>
      </c>
      <c r="K43" s="49" t="n">
        <v>11.94</v>
      </c>
      <c r="L43" s="49" t="n">
        <v>11.04</v>
      </c>
      <c r="M43" s="49" t="n">
        <v>10.15</v>
      </c>
      <c r="N43" s="49" t="n">
        <v>9.529999999999999</v>
      </c>
      <c r="O43" s="49" t="n">
        <v>8.59</v>
      </c>
      <c r="P43" s="49" t="n">
        <v>9.9</v>
      </c>
      <c r="Q43" s="49" t="n">
        <v>8.19</v>
      </c>
      <c r="R43" s="49" t="n">
        <v>8.130000000000001</v>
      </c>
      <c r="S43" s="49" t="n">
        <v>7.59</v>
      </c>
      <c r="T43" s="49" t="n">
        <v>9.84</v>
      </c>
      <c r="U43" s="49" t="n">
        <v>8.59</v>
      </c>
      <c r="V43" s="49" t="n">
        <v>11.27</v>
      </c>
      <c r="W43" s="49" t="n">
        <v>10.94</v>
      </c>
      <c r="X43" s="49" t="n">
        <v>10.71</v>
      </c>
      <c r="Y43" s="49" t="n">
        <v>9.800000000000001</v>
      </c>
      <c r="Z43" s="49" t="n">
        <v>9.800000000000001</v>
      </c>
      <c r="AA43" s="49" t="n">
        <v>8.58</v>
      </c>
      <c r="AB43" s="49" t="n">
        <v>8.9</v>
      </c>
      <c r="AC43" s="49" t="n">
        <v>9.960000000000001</v>
      </c>
      <c r="AD43" s="49" t="n">
        <v>9.76</v>
      </c>
      <c r="AE43" s="49" t="n">
        <v>8.08</v>
      </c>
    </row>
    <row r="44">
      <c r="A44" s="35" t="inlineStr">
        <is>
          <t>dax30:RNG120</t>
        </is>
      </c>
      <c r="B44" s="49" t="n">
        <v>6.77</v>
      </c>
      <c r="C44" s="49" t="n">
        <v>6.1</v>
      </c>
      <c r="D44" s="49" t="n">
        <v>6.87</v>
      </c>
      <c r="E44" s="49" t="n">
        <v>7.52</v>
      </c>
      <c r="F44" s="49" t="n">
        <v>5.99</v>
      </c>
      <c r="G44" s="49" t="n">
        <v>5.88</v>
      </c>
      <c r="H44" s="49" t="n">
        <v>4.62</v>
      </c>
      <c r="I44" s="49" t="n">
        <v>4.14</v>
      </c>
      <c r="J44" s="49" t="n">
        <v>1.94</v>
      </c>
      <c r="K44" s="49" t="n">
        <v>0.73</v>
      </c>
      <c r="L44" s="49" t="n">
        <v>-0.23</v>
      </c>
      <c r="M44" s="49" t="n">
        <v>1.01</v>
      </c>
      <c r="N44" s="49" t="n">
        <v>3.04</v>
      </c>
      <c r="O44" s="49" t="n">
        <v>2.2</v>
      </c>
      <c r="P44" s="49" t="n">
        <v>3.17</v>
      </c>
      <c r="Q44" s="49" t="n">
        <v>2.99</v>
      </c>
      <c r="R44" s="49" t="n">
        <v>3.77</v>
      </c>
      <c r="S44" s="49" t="n">
        <v>2.91</v>
      </c>
      <c r="T44" s="49" t="n">
        <v>3.41</v>
      </c>
      <c r="U44" s="49" t="n">
        <v>2.69</v>
      </c>
      <c r="V44" s="49" t="n">
        <v>3.89</v>
      </c>
      <c r="W44" s="49" t="n">
        <v>4.55</v>
      </c>
      <c r="X44" s="49" t="n">
        <v>5.77</v>
      </c>
      <c r="Y44" s="49" t="n">
        <v>6.82</v>
      </c>
      <c r="Z44" s="49" t="n">
        <v>6.82</v>
      </c>
      <c r="AA44" s="49" t="n">
        <v>7.07</v>
      </c>
      <c r="AB44" s="49" t="n">
        <v>7.46</v>
      </c>
      <c r="AC44" s="49" t="n">
        <v>4.99</v>
      </c>
      <c r="AD44" s="49" t="n">
        <v>4.4</v>
      </c>
      <c r="AE44" s="49" t="n">
        <v>3.54</v>
      </c>
    </row>
    <row r="45">
      <c r="A45" s="44" t="inlineStr">
        <is>
          <t>dax30:MAIN_STOCK</t>
        </is>
      </c>
      <c r="B45" s="49" t="n">
        <v>-0.84</v>
      </c>
      <c r="C45" s="49" t="n">
        <v>-0.3</v>
      </c>
      <c r="D45" s="49" t="n">
        <v>0.79</v>
      </c>
      <c r="E45" s="49" t="n">
        <v>1.82</v>
      </c>
      <c r="F45" s="49" t="n">
        <v>3.11</v>
      </c>
      <c r="G45" s="49" t="n">
        <v>4.2</v>
      </c>
      <c r="H45" s="49" t="n">
        <v>5.31</v>
      </c>
      <c r="I45" s="49" t="n">
        <v>4.82</v>
      </c>
      <c r="J45" s="49" t="n">
        <v>4.67</v>
      </c>
      <c r="K45" s="49" t="n">
        <v>3.69</v>
      </c>
      <c r="L45" s="49" t="n">
        <v>2.73</v>
      </c>
      <c r="M45" s="49" t="n">
        <v>0.79</v>
      </c>
      <c r="N45" s="49" t="n">
        <v>-1.28</v>
      </c>
      <c r="O45" s="49" t="n">
        <v>-1.69</v>
      </c>
      <c r="P45" s="49" t="n">
        <v>-3.14</v>
      </c>
      <c r="Q45" s="49" t="n">
        <v>-3.75</v>
      </c>
      <c r="R45" s="49" t="n">
        <v>-4.38</v>
      </c>
      <c r="S45" s="49" t="n">
        <v>-4.84</v>
      </c>
      <c r="T45" s="49" t="n">
        <v>-6.1</v>
      </c>
      <c r="U45" s="49" t="n">
        <v>-7.29</v>
      </c>
      <c r="V45" s="49" t="n">
        <v>-9.06</v>
      </c>
      <c r="W45" s="49" t="n">
        <v>-9.42</v>
      </c>
      <c r="X45" s="49" t="n">
        <v>-9.869999999999999</v>
      </c>
      <c r="Y45" s="49" t="n">
        <v>-10.63</v>
      </c>
      <c r="Z45" s="49" t="n">
        <v>-10.63</v>
      </c>
      <c r="AA45" s="49" t="n">
        <v>-11.13</v>
      </c>
      <c r="AB45" s="49" t="n">
        <v>-11.85</v>
      </c>
      <c r="AC45" s="49" t="n">
        <v>-12.7</v>
      </c>
      <c r="AD45" s="49" t="n">
        <v>-13.26</v>
      </c>
      <c r="AE45" s="49" t="n">
        <v>-13.71</v>
      </c>
    </row>
    <row r="46">
      <c r="A46" s="35" t="inlineStr">
        <is>
          <t>dax30:ORG_CHIP</t>
        </is>
      </c>
      <c r="B46" s="49" t="n">
        <v>89.06999999999999</v>
      </c>
      <c r="C46" s="49" t="n">
        <v>100</v>
      </c>
      <c r="D46" s="49" t="n">
        <v>96.81</v>
      </c>
      <c r="E46" s="49" t="n">
        <v>100</v>
      </c>
      <c r="F46" s="49" t="n">
        <v>100</v>
      </c>
      <c r="G46" s="49" t="n">
        <v>100</v>
      </c>
      <c r="H46" s="49" t="n">
        <v>62.76</v>
      </c>
      <c r="I46" s="49" t="n">
        <v>75.29000000000001</v>
      </c>
      <c r="J46" s="49" t="n">
        <v>46.75</v>
      </c>
      <c r="K46" s="49" t="n">
        <v>49.47</v>
      </c>
      <c r="L46" s="49" t="n">
        <v>19.29</v>
      </c>
      <c r="M46" s="49" t="n">
        <v>56.75</v>
      </c>
      <c r="N46" s="49" t="n">
        <v>88.54000000000001</v>
      </c>
      <c r="O46" s="49" t="n">
        <v>71.86</v>
      </c>
      <c r="P46" s="49" t="n">
        <v>88.09999999999999</v>
      </c>
      <c r="Q46" s="49" t="n">
        <v>87.93000000000001</v>
      </c>
      <c r="R46" s="49" t="n">
        <v>91.13</v>
      </c>
      <c r="S46" s="49" t="n">
        <v>77.22</v>
      </c>
      <c r="T46" s="49" t="n">
        <v>80.39</v>
      </c>
      <c r="U46" s="49" t="n">
        <v>72.75</v>
      </c>
      <c r="V46" s="49" t="n">
        <v>97.41</v>
      </c>
      <c r="W46" s="49" t="n">
        <v>95.77</v>
      </c>
      <c r="X46" s="49" t="n">
        <v>92.04000000000001</v>
      </c>
      <c r="Y46" s="49" t="n">
        <v>96.41</v>
      </c>
      <c r="Z46" s="49" t="n">
        <v>96.41</v>
      </c>
      <c r="AA46" s="49" t="n">
        <v>94.28</v>
      </c>
      <c r="AB46" s="49" t="n">
        <v>93.41</v>
      </c>
      <c r="AC46" s="49" t="n">
        <v>96.22</v>
      </c>
      <c r="AD46" s="49" t="n">
        <v>97.06999999999999</v>
      </c>
      <c r="AE46" s="49" t="n">
        <v>91.66</v>
      </c>
    </row>
    <row r="47">
      <c r="A47" s="35" t="inlineStr">
        <is>
          <t>gb100:EIDE</t>
        </is>
      </c>
      <c r="B47" s="47" t="inlineStr">
        <is>
          <t>red</t>
        </is>
      </c>
      <c r="C47" s="47" t="inlineStr">
        <is>
          <t>red</t>
        </is>
      </c>
      <c r="D47" s="47" t="inlineStr">
        <is>
          <t>red</t>
        </is>
      </c>
      <c r="E47" s="47" t="inlineStr">
        <is>
          <t>red</t>
        </is>
      </c>
      <c r="F47" s="48" t="inlineStr">
        <is>
          <t>blue</t>
        </is>
      </c>
      <c r="G47" s="48" t="inlineStr">
        <is>
          <t>blue</t>
        </is>
      </c>
      <c r="H47" s="48" t="inlineStr">
        <is>
          <t>blue</t>
        </is>
      </c>
      <c r="I47" s="48" t="inlineStr">
        <is>
          <t>blue</t>
        </is>
      </c>
      <c r="J47" s="46" t="inlineStr">
        <is>
          <t>green</t>
        </is>
      </c>
      <c r="K47" s="46" t="inlineStr">
        <is>
          <t>green</t>
        </is>
      </c>
      <c r="L47" s="46" t="inlineStr">
        <is>
          <t>green</t>
        </is>
      </c>
      <c r="M47" s="46" t="inlineStr">
        <is>
          <t>green</t>
        </is>
      </c>
      <c r="N47" s="46" t="inlineStr">
        <is>
          <t>green</t>
        </is>
      </c>
      <c r="O47" s="46" t="inlineStr">
        <is>
          <t>green</t>
        </is>
      </c>
      <c r="P47" s="46" t="inlineStr">
        <is>
          <t>green</t>
        </is>
      </c>
      <c r="Q47" s="48" t="inlineStr">
        <is>
          <t>blue</t>
        </is>
      </c>
      <c r="R47" s="48" t="inlineStr">
        <is>
          <t>blue</t>
        </is>
      </c>
      <c r="S47" s="48" t="inlineStr">
        <is>
          <t>blue</t>
        </is>
      </c>
      <c r="T47" s="48" t="inlineStr">
        <is>
          <t>blue</t>
        </is>
      </c>
      <c r="U47" s="48" t="inlineStr">
        <is>
          <t>blue</t>
        </is>
      </c>
      <c r="V47" s="48" t="inlineStr">
        <is>
          <t>blue</t>
        </is>
      </c>
      <c r="W47" s="48" t="inlineStr">
        <is>
          <t>blue</t>
        </is>
      </c>
      <c r="X47" s="48" t="inlineStr">
        <is>
          <t>blue</t>
        </is>
      </c>
      <c r="Y47" s="48" t="inlineStr">
        <is>
          <t>blue</t>
        </is>
      </c>
      <c r="Z47" s="48" t="inlineStr">
        <is>
          <t>blue</t>
        </is>
      </c>
      <c r="AA47" s="48" t="inlineStr">
        <is>
          <t>blue</t>
        </is>
      </c>
      <c r="AB47" s="47" t="inlineStr">
        <is>
          <t>red</t>
        </is>
      </c>
      <c r="AC47" s="47" t="inlineStr">
        <is>
          <t>red</t>
        </is>
      </c>
      <c r="AD47" s="47" t="inlineStr">
        <is>
          <t>red</t>
        </is>
      </c>
      <c r="AE47" s="47" t="inlineStr">
        <is>
          <t>red</t>
        </is>
      </c>
    </row>
    <row r="48">
      <c r="A48" s="35" t="inlineStr">
        <is>
          <t>gb100:RNG60</t>
        </is>
      </c>
      <c r="B48" s="49" t="n">
        <v>2.87</v>
      </c>
      <c r="C48" s="49" t="n">
        <v>2.95</v>
      </c>
      <c r="D48" s="49" t="n">
        <v>3.95</v>
      </c>
      <c r="E48" s="49" t="n">
        <v>4.28</v>
      </c>
      <c r="F48" s="49" t="n">
        <v>2.76</v>
      </c>
      <c r="G48" s="49" t="n">
        <v>3.24</v>
      </c>
      <c r="H48" s="49" t="n">
        <v>1.78</v>
      </c>
      <c r="I48" s="49" t="n">
        <v>0.99</v>
      </c>
      <c r="J48" s="49" t="n">
        <v>0.98</v>
      </c>
      <c r="K48" s="49" t="n">
        <v>1.14</v>
      </c>
      <c r="L48" s="49" t="n">
        <v>0.6</v>
      </c>
      <c r="M48" s="49" t="n">
        <v>0.78</v>
      </c>
      <c r="N48" s="49" t="n">
        <v>-0.66</v>
      </c>
      <c r="O48" s="49" t="n">
        <v>-0.71</v>
      </c>
      <c r="P48" s="49" t="n">
        <v>0.6899999999999999</v>
      </c>
      <c r="Q48" s="49" t="n">
        <v>0.51</v>
      </c>
      <c r="R48" s="49" t="n">
        <v>0.97</v>
      </c>
      <c r="S48" s="49" t="n">
        <v>0.8</v>
      </c>
      <c r="T48" s="49" t="n">
        <v>3.08</v>
      </c>
      <c r="U48" s="49" t="n">
        <v>2.51</v>
      </c>
      <c r="V48" s="49" t="n">
        <v>3.62</v>
      </c>
      <c r="W48" s="49" t="n">
        <v>4.33</v>
      </c>
      <c r="X48" s="49" t="n">
        <v>3.38</v>
      </c>
      <c r="Y48" s="49" t="n">
        <v>2.85</v>
      </c>
      <c r="Z48" s="49" t="n">
        <v>2.85</v>
      </c>
      <c r="AA48" s="49" t="n">
        <v>1.18</v>
      </c>
      <c r="AB48" s="49" t="n">
        <v>1.22</v>
      </c>
      <c r="AC48" s="49" t="n">
        <v>1.61</v>
      </c>
      <c r="AD48" s="49" t="n">
        <v>0.16</v>
      </c>
      <c r="AE48" s="49" t="n">
        <v>-0.12</v>
      </c>
    </row>
    <row r="49">
      <c r="A49" s="35" t="inlineStr">
        <is>
          <t>gb100:RNG120</t>
        </is>
      </c>
      <c r="B49" s="49" t="n">
        <v>0.16</v>
      </c>
      <c r="C49" s="49" t="n">
        <v>1.04</v>
      </c>
      <c r="D49" s="49" t="n">
        <v>1.4</v>
      </c>
      <c r="E49" s="49" t="n">
        <v>1.07</v>
      </c>
      <c r="F49" s="49" t="n">
        <v>-0.46</v>
      </c>
      <c r="G49" s="49" t="n">
        <v>-0.02</v>
      </c>
      <c r="H49" s="49" t="n">
        <v>-1</v>
      </c>
      <c r="I49" s="49" t="n">
        <v>-2.33</v>
      </c>
      <c r="J49" s="49" t="n">
        <v>-3.08</v>
      </c>
      <c r="K49" s="49" t="n">
        <v>-3.06</v>
      </c>
      <c r="L49" s="49" t="n">
        <v>-3.2</v>
      </c>
      <c r="M49" s="49" t="n">
        <v>-1.54</v>
      </c>
      <c r="N49" s="49" t="n">
        <v>-0.7</v>
      </c>
      <c r="O49" s="49" t="n">
        <v>-1.14</v>
      </c>
      <c r="P49" s="49" t="n">
        <v>0.07000000000000001</v>
      </c>
      <c r="Q49" s="49" t="n">
        <v>1.26</v>
      </c>
      <c r="R49" s="49" t="n">
        <v>3.23</v>
      </c>
      <c r="S49" s="49" t="n">
        <v>3.82</v>
      </c>
      <c r="T49" s="49" t="n">
        <v>3.88</v>
      </c>
      <c r="U49" s="49" t="n">
        <v>3.25</v>
      </c>
      <c r="V49" s="49" t="n">
        <v>4.12</v>
      </c>
      <c r="W49" s="49" t="n">
        <v>6.19</v>
      </c>
      <c r="X49" s="49" t="n">
        <v>6.17</v>
      </c>
      <c r="Y49" s="49" t="n">
        <v>6.45</v>
      </c>
      <c r="Z49" s="49" t="n">
        <v>6.45</v>
      </c>
      <c r="AA49" s="49" t="n">
        <v>5.73</v>
      </c>
      <c r="AB49" s="49" t="n">
        <v>3.39</v>
      </c>
      <c r="AC49" s="49" t="n">
        <v>2.61</v>
      </c>
      <c r="AD49" s="49" t="n">
        <v>1.47</v>
      </c>
      <c r="AE49" s="49" t="n">
        <v>1.1</v>
      </c>
    </row>
    <row r="50">
      <c r="A50" s="35" t="inlineStr">
        <is>
          <t>gb100:MAIN_STOCK</t>
        </is>
      </c>
      <c r="B50" s="49" t="n">
        <v>33.63</v>
      </c>
      <c r="C50" s="49" t="n">
        <v>34.84</v>
      </c>
      <c r="D50" s="49" t="n">
        <v>37.33</v>
      </c>
      <c r="E50" s="49" t="n">
        <v>38.98</v>
      </c>
      <c r="F50" s="49" t="n">
        <v>40.88</v>
      </c>
      <c r="G50" s="49" t="n">
        <v>39.53</v>
      </c>
      <c r="H50" s="49" t="n">
        <v>37.98</v>
      </c>
      <c r="I50" s="49" t="n">
        <v>34.9</v>
      </c>
      <c r="J50" s="49" t="n">
        <v>31.58</v>
      </c>
      <c r="K50" s="49" t="n">
        <v>27.09</v>
      </c>
      <c r="L50" s="49" t="n">
        <v>22.06</v>
      </c>
      <c r="M50" s="49" t="n">
        <v>16.13</v>
      </c>
      <c r="N50" s="49" t="n">
        <v>11.37</v>
      </c>
      <c r="O50" s="49" t="n">
        <v>10.28</v>
      </c>
      <c r="P50" s="49" t="n">
        <v>7.54</v>
      </c>
      <c r="Q50" s="49" t="n">
        <v>7.02</v>
      </c>
      <c r="R50" s="49" t="n">
        <v>7.55</v>
      </c>
      <c r="S50" s="49" t="n">
        <v>8.51</v>
      </c>
      <c r="T50" s="49" t="n">
        <v>9.470000000000001</v>
      </c>
      <c r="U50" s="49" t="n">
        <v>11.66</v>
      </c>
      <c r="V50" s="49" t="n">
        <v>12.79</v>
      </c>
      <c r="W50" s="49" t="n">
        <v>15.36</v>
      </c>
      <c r="X50" s="49" t="n">
        <v>18.66</v>
      </c>
      <c r="Y50" s="49" t="n">
        <v>22</v>
      </c>
      <c r="Z50" s="49" t="n">
        <v>22</v>
      </c>
      <c r="AA50" s="49" t="n">
        <v>25.78</v>
      </c>
      <c r="AB50" s="49" t="n">
        <v>29.08</v>
      </c>
      <c r="AC50" s="49" t="n">
        <v>32.65</v>
      </c>
      <c r="AD50" s="49" t="n">
        <v>37.29</v>
      </c>
      <c r="AE50" s="49" t="n">
        <v>40.29</v>
      </c>
    </row>
    <row r="51">
      <c r="A51" s="35" t="inlineStr">
        <is>
          <t>gb100:ORG_CHIP</t>
        </is>
      </c>
      <c r="B51" s="49" t="n">
        <v>68.81</v>
      </c>
      <c r="C51" s="49" t="n">
        <v>79.67</v>
      </c>
      <c r="D51" s="49" t="n">
        <v>69.47</v>
      </c>
      <c r="E51" s="49" t="n">
        <v>70.18000000000001</v>
      </c>
      <c r="F51" s="49" t="n">
        <v>38.17</v>
      </c>
      <c r="G51" s="49" t="n">
        <v>37.55</v>
      </c>
      <c r="H51" s="49" t="n">
        <v>24.81</v>
      </c>
      <c r="I51" s="49" t="n">
        <v>25.41</v>
      </c>
      <c r="J51" s="49" t="n">
        <v>17.58</v>
      </c>
      <c r="K51" s="49" t="n">
        <v>16.71</v>
      </c>
      <c r="L51" s="49" t="n">
        <v>12.82</v>
      </c>
      <c r="M51" s="49" t="n">
        <v>37.42</v>
      </c>
      <c r="N51" s="49" t="n">
        <v>68.70999999999999</v>
      </c>
      <c r="O51" s="49" t="n">
        <v>54.75</v>
      </c>
      <c r="P51" s="49" t="n">
        <v>76.45999999999999</v>
      </c>
      <c r="Q51" s="49" t="n">
        <v>85.76000000000001</v>
      </c>
      <c r="R51" s="49" t="n">
        <v>88.72</v>
      </c>
      <c r="S51" s="49" t="n">
        <v>87.40000000000001</v>
      </c>
      <c r="T51" s="49" t="n">
        <v>97.06</v>
      </c>
      <c r="U51" s="49" t="n">
        <v>85.29000000000001</v>
      </c>
      <c r="V51" s="49" t="n">
        <v>96.61</v>
      </c>
      <c r="W51" s="49" t="n">
        <v>100</v>
      </c>
      <c r="X51" s="49" t="n">
        <v>99.34999999999999</v>
      </c>
      <c r="Y51" s="49" t="n">
        <v>100</v>
      </c>
      <c r="Z51" s="49" t="n">
        <v>100</v>
      </c>
      <c r="AA51" s="49" t="n">
        <v>94.88</v>
      </c>
      <c r="AB51" s="49" t="n">
        <v>94.70999999999999</v>
      </c>
      <c r="AC51" s="49" t="n">
        <v>100</v>
      </c>
      <c r="AD51" s="49" t="n">
        <v>96.67</v>
      </c>
      <c r="AE51" s="49" t="n">
        <v>89.51000000000001</v>
      </c>
    </row>
    <row r="53">
      <c r="A53" s="45" t="inlineStr">
        <is>
          <t>今日买报：hk50:RNG60:-12.34&lt;=-10;hk50:RNG120:-20.74&lt;=-20</t>
        </is>
      </c>
    </row>
    <row r="54">
      <c r="A54" s="45" t="inlineStr">
        <is>
          <t>今日卖报：us500:RNG60:12.23&gt;=10;us500:MAIN_STOCK:-5.71&lt;=1;us30:RNG60:12.74&gt;=10;us30:MAIN_STOCK:-6.44&lt;=1;jp225:RNG60:14.83&gt;=10;vn:MAIN_STOCK:-6.8&lt;=1;dax30:RNG60:11.29&gt;=10;dax30:MAIN_STOCK:-0.84&lt;=1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9AE854"/>
        <color rgb="00F8544C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9AE854"/>
        <color rgb="00F8544C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9AE854"/>
        <color rgb="00F8544C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9AE854"/>
        <color rgb="00F8544C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9AE854"/>
        <color rgb="00F8544C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9AE854"/>
        <color rgb="00F8544C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topLeftCell="A37" workbookViewId="0">
      <selection activeCell="F3" sqref="F3:F4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" min="7" max="7"/>
  </cols>
  <sheetData>
    <row r="1" customFormat="1" s="4">
      <c r="A1" s="16" t="inlineStr">
        <is>
          <t>col_name</t>
        </is>
      </c>
      <c r="B1" s="16" t="inlineStr">
        <is>
          <t>title_name</t>
        </is>
      </c>
      <c r="C1" s="17" t="inlineStr">
        <is>
          <t>unit</t>
        </is>
      </c>
      <c r="D1" s="17" t="inlineStr">
        <is>
          <t>start_color</t>
        </is>
      </c>
      <c r="E1" s="17" t="inlineStr">
        <is>
          <t>end_color</t>
        </is>
      </c>
      <c r="F1" s="17" t="inlineStr">
        <is>
          <t>limit_buy</t>
        </is>
      </c>
      <c r="G1" s="17" t="inlineStr">
        <is>
          <t>limit_sell</t>
        </is>
      </c>
    </row>
    <row r="2">
      <c r="A2" s="13" t="inlineStr">
        <is>
          <t>date</t>
        </is>
      </c>
      <c r="B2" s="13" t="inlineStr">
        <is>
          <t>日期</t>
        </is>
      </c>
      <c r="C2" s="21" t="n"/>
      <c r="D2" s="21" t="n"/>
      <c r="E2" s="21" t="n"/>
      <c r="F2" s="21" t="n"/>
      <c r="G2" s="21" t="n"/>
    </row>
    <row r="3">
      <c r="A3" s="13" t="inlineStr">
        <is>
          <t>IDXC</t>
        </is>
      </c>
      <c r="B3" s="13" t="inlineStr">
        <is>
          <t>收盘</t>
        </is>
      </c>
      <c r="C3" s="21" t="n">
        <v>2</v>
      </c>
      <c r="D3" s="21" t="inlineStr">
        <is>
          <t>F8544C</t>
        </is>
      </c>
      <c r="E3" s="21" t="inlineStr">
        <is>
          <t>9AE854</t>
        </is>
      </c>
      <c r="F3" s="21" t="n"/>
      <c r="G3" s="21" t="n"/>
    </row>
    <row r="4">
      <c r="A4" s="13" t="inlineStr">
        <is>
          <t>EIDE</t>
        </is>
      </c>
      <c r="B4" s="13" t="inlineStr">
        <is>
          <t>埃尔德</t>
        </is>
      </c>
      <c r="C4" s="21" t="n"/>
      <c r="D4" s="21" t="n"/>
      <c r="E4" s="21" t="n"/>
      <c r="F4" s="21" t="n"/>
      <c r="G4" s="21" t="n"/>
    </row>
    <row r="5">
      <c r="A5" s="13" t="inlineStr">
        <is>
          <t>RNG</t>
        </is>
      </c>
      <c r="B5" s="13" t="inlineStr">
        <is>
          <t>涨跌幅</t>
        </is>
      </c>
      <c r="C5" s="21" t="n">
        <v>2</v>
      </c>
      <c r="D5" s="21" t="inlineStr">
        <is>
          <t>F8544C</t>
        </is>
      </c>
      <c r="E5" s="21" t="inlineStr">
        <is>
          <t>9AE854</t>
        </is>
      </c>
      <c r="F5" s="21" t="n"/>
      <c r="G5" s="21" t="n"/>
    </row>
    <row r="6">
      <c r="A6" s="13" t="inlineStr">
        <is>
          <t>RNG60</t>
        </is>
      </c>
      <c r="B6" s="13" t="inlineStr">
        <is>
          <t>60日涨跌幅</t>
        </is>
      </c>
      <c r="C6" s="21" t="n">
        <v>2</v>
      </c>
      <c r="D6" s="21" t="inlineStr">
        <is>
          <t>F8544C</t>
        </is>
      </c>
      <c r="E6" s="21" t="inlineStr">
        <is>
          <t>9AE854</t>
        </is>
      </c>
      <c r="F6" s="21" t="inlineStr">
        <is>
          <t>&lt;=-10</t>
        </is>
      </c>
      <c r="G6" s="21" t="inlineStr">
        <is>
          <t>&gt;=10</t>
        </is>
      </c>
    </row>
    <row r="7">
      <c r="A7" s="13" t="inlineStr">
        <is>
          <t>RNG120</t>
        </is>
      </c>
      <c r="B7" s="13" t="inlineStr">
        <is>
          <t>120日涨跌幅</t>
        </is>
      </c>
      <c r="C7" s="21" t="n">
        <v>2</v>
      </c>
      <c r="D7" s="21" t="inlineStr">
        <is>
          <t>F8544C</t>
        </is>
      </c>
      <c r="E7" s="21" t="inlineStr">
        <is>
          <t>9AE854</t>
        </is>
      </c>
      <c r="F7" s="21" t="inlineStr">
        <is>
          <t>&lt;=-20</t>
        </is>
      </c>
      <c r="G7" s="21" t="inlineStr">
        <is>
          <t>&gt;=20</t>
        </is>
      </c>
    </row>
    <row r="8">
      <c r="A8" s="13" t="inlineStr">
        <is>
          <t>amounts</t>
        </is>
      </c>
      <c r="B8" s="13" t="inlineStr">
        <is>
          <t>成交额(亿元)</t>
        </is>
      </c>
      <c r="C8" s="21" t="n">
        <v>2</v>
      </c>
      <c r="D8" s="21" t="inlineStr">
        <is>
          <t>F8544C</t>
        </is>
      </c>
      <c r="E8" s="21" t="inlineStr">
        <is>
          <t>9AE854</t>
        </is>
      </c>
      <c r="F8" s="21" t="inlineStr">
        <is>
          <t>&lt;=6100</t>
        </is>
      </c>
      <c r="G8" s="21" t="inlineStr">
        <is>
          <t>&gt;=12000</t>
        </is>
      </c>
    </row>
    <row r="9">
      <c r="A9" s="18" t="inlineStr">
        <is>
          <t>cnt</t>
        </is>
      </c>
      <c r="B9" s="18" t="inlineStr">
        <is>
          <t>下影线数</t>
        </is>
      </c>
      <c r="C9" s="19" t="n">
        <v>0</v>
      </c>
      <c r="D9" s="19" t="inlineStr">
        <is>
          <t>9AE854</t>
        </is>
      </c>
      <c r="E9" s="19" t="inlineStr">
        <is>
          <t>F8544C</t>
        </is>
      </c>
      <c r="F9" s="19" t="inlineStr">
        <is>
          <t>&gt;=200</t>
        </is>
      </c>
      <c r="G9" s="19" t="n"/>
    </row>
    <row r="10">
      <c r="A10" s="18" t="inlineStr">
        <is>
          <t>main</t>
        </is>
      </c>
      <c r="B10" s="18" t="inlineStr">
        <is>
          <t>主力进场数</t>
        </is>
      </c>
      <c r="C10" s="19" t="n">
        <v>0</v>
      </c>
      <c r="D10" s="19" t="inlineStr">
        <is>
          <t>9AE854</t>
        </is>
      </c>
      <c r="E10" s="19" t="inlineStr">
        <is>
          <t>F8544C</t>
        </is>
      </c>
      <c r="F10" s="19" t="inlineStr">
        <is>
          <t>&gt;=120</t>
        </is>
      </c>
      <c r="G10" s="19" t="n"/>
    </row>
    <row r="11">
      <c r="A11" s="18" t="inlineStr">
        <is>
          <t>MAIN_STOCK</t>
        </is>
      </c>
      <c r="B11" s="18" t="inlineStr">
        <is>
          <t>主力仓位</t>
        </is>
      </c>
      <c r="C11" s="19" t="n">
        <v>2</v>
      </c>
      <c r="D11" s="19" t="inlineStr">
        <is>
          <t>9AE854</t>
        </is>
      </c>
      <c r="E11" s="19" t="inlineStr">
        <is>
          <t>F8544C</t>
        </is>
      </c>
      <c r="F11" s="19" t="inlineStr">
        <is>
          <t>&gt;=90</t>
        </is>
      </c>
      <c r="G11" s="19" t="n"/>
    </row>
    <row r="12">
      <c r="A12" s="18" t="inlineStr">
        <is>
          <t>MAIN_IN</t>
        </is>
      </c>
      <c r="B12" s="18" t="inlineStr">
        <is>
          <t>主力进场</t>
        </is>
      </c>
      <c r="C12" s="19" t="n">
        <v>2</v>
      </c>
      <c r="D12" s="19" t="inlineStr">
        <is>
          <t>9AE854</t>
        </is>
      </c>
      <c r="E12" s="19" t="inlineStr">
        <is>
          <t>F8544C</t>
        </is>
      </c>
      <c r="F12" s="19" t="inlineStr">
        <is>
          <t>&gt;=18</t>
        </is>
      </c>
      <c r="G12" s="19" t="n"/>
    </row>
    <row r="13">
      <c r="A13" s="18" t="inlineStr">
        <is>
          <t>MAIN_WASH</t>
        </is>
      </c>
      <c r="B13" s="18" t="inlineStr">
        <is>
          <t>主力清洗</t>
        </is>
      </c>
      <c r="C13" s="19" t="n">
        <v>2</v>
      </c>
      <c r="D13" s="19" t="inlineStr">
        <is>
          <t>9AE854</t>
        </is>
      </c>
      <c r="E13" s="19" t="inlineStr">
        <is>
          <t>F8544C</t>
        </is>
      </c>
      <c r="F13" s="19" t="n"/>
      <c r="G13" s="19" t="n"/>
    </row>
    <row r="14">
      <c r="A14" s="13" t="inlineStr">
        <is>
          <t>winner_x</t>
        </is>
      </c>
      <c r="B14" s="13" t="inlineStr">
        <is>
          <t>获利比(加权)</t>
        </is>
      </c>
      <c r="C14" s="21" t="inlineStr">
        <is>
          <t>%</t>
        </is>
      </c>
      <c r="D14" s="21" t="inlineStr">
        <is>
          <t>F8544C</t>
        </is>
      </c>
      <c r="E14" s="21" t="inlineStr">
        <is>
          <t>9AE854</t>
        </is>
      </c>
      <c r="F14" s="21" t="inlineStr">
        <is>
          <t>&lt;=0.085</t>
        </is>
      </c>
      <c r="G14" s="21" t="inlineStr">
        <is>
          <t>&gt;=0.5</t>
        </is>
      </c>
    </row>
    <row r="15">
      <c r="A15" s="13" t="inlineStr">
        <is>
          <t>winPeak_x</t>
        </is>
      </c>
      <c r="B15" s="13" t="inlineStr">
        <is>
          <t>筹码峰获利比(加权)</t>
        </is>
      </c>
      <c r="C15" s="21" t="inlineStr">
        <is>
          <t>%</t>
        </is>
      </c>
      <c r="D15" s="21" t="inlineStr">
        <is>
          <t>F8544C</t>
        </is>
      </c>
      <c r="E15" s="21" t="inlineStr">
        <is>
          <t>9AE854</t>
        </is>
      </c>
      <c r="F15" s="21" t="inlineStr">
        <is>
          <t>&lt;=0.1</t>
        </is>
      </c>
      <c r="G15" s="21" t="inlineStr">
        <is>
          <t>&gt;=0.4</t>
        </is>
      </c>
    </row>
    <row r="16">
      <c r="A16" s="13" t="inlineStr">
        <is>
          <t>peakRng</t>
        </is>
      </c>
      <c r="B16" s="13" t="inlineStr">
        <is>
          <t>筹码峰日涨跌(加权)</t>
        </is>
      </c>
      <c r="C16" s="21" t="inlineStr">
        <is>
          <t>%</t>
        </is>
      </c>
      <c r="D16" s="21" t="inlineStr">
        <is>
          <t>F8544C</t>
        </is>
      </c>
      <c r="E16" s="21" t="inlineStr">
        <is>
          <t>9AE854</t>
        </is>
      </c>
      <c r="F16" s="21" t="inlineStr">
        <is>
          <t>&lt;=-0.03</t>
        </is>
      </c>
      <c r="G16" s="21" t="inlineStr">
        <is>
          <t>&gt;=0.03</t>
        </is>
      </c>
    </row>
    <row r="17">
      <c r="A17" s="18" t="inlineStr">
        <is>
          <t>winLow30_x</t>
        </is>
      </c>
      <c r="B17" s="18" t="inlineStr">
        <is>
          <t>底部30%获利比(加权)</t>
        </is>
      </c>
      <c r="C17" s="19" t="inlineStr">
        <is>
          <t>%</t>
        </is>
      </c>
      <c r="D17" s="19" t="inlineStr">
        <is>
          <t>9AE854</t>
        </is>
      </c>
      <c r="E17" s="19" t="inlineStr">
        <is>
          <t>F8544C</t>
        </is>
      </c>
      <c r="F17" s="19" t="inlineStr">
        <is>
          <t>&gt;=0.1</t>
        </is>
      </c>
      <c r="G17" s="19" t="inlineStr">
        <is>
          <t>&lt;=0.06</t>
        </is>
      </c>
    </row>
    <row r="18">
      <c r="A18" s="13" t="inlineStr">
        <is>
          <t>winHigh30_x</t>
        </is>
      </c>
      <c r="B18" s="13" t="inlineStr">
        <is>
          <t>顶部30%获利比(加权)</t>
        </is>
      </c>
      <c r="C18" s="21" t="inlineStr">
        <is>
          <t>%</t>
        </is>
      </c>
      <c r="D18" s="21" t="inlineStr">
        <is>
          <t>F8544C</t>
        </is>
      </c>
      <c r="E18" s="21" t="inlineStr">
        <is>
          <t>9AE854</t>
        </is>
      </c>
      <c r="F18" s="21" t="inlineStr">
        <is>
          <t>&lt;=0.06</t>
        </is>
      </c>
      <c r="G18" s="21" t="inlineStr">
        <is>
          <t>&gt;=0.35</t>
        </is>
      </c>
    </row>
    <row r="19">
      <c r="A19" s="18" t="inlineStr">
        <is>
          <t>winLow20_x</t>
        </is>
      </c>
      <c r="B19" s="18" t="inlineStr">
        <is>
          <t>底部20%获利比(加权)</t>
        </is>
      </c>
      <c r="C19" s="19" t="inlineStr">
        <is>
          <t>%</t>
        </is>
      </c>
      <c r="D19" s="19" t="inlineStr">
        <is>
          <t>9AE854</t>
        </is>
      </c>
      <c r="E19" s="19" t="inlineStr">
        <is>
          <t>F8544C</t>
        </is>
      </c>
      <c r="F19" s="19" t="inlineStr">
        <is>
          <t>&gt;=0.06</t>
        </is>
      </c>
      <c r="G19" s="19" t="inlineStr">
        <is>
          <t>&lt;=0.02</t>
        </is>
      </c>
    </row>
    <row r="20">
      <c r="A20" s="13" t="inlineStr">
        <is>
          <t>winHigh20_x</t>
        </is>
      </c>
      <c r="B20" s="13" t="inlineStr">
        <is>
          <t>顶部20%获利比(加权)</t>
        </is>
      </c>
      <c r="C20" s="21" t="inlineStr">
        <is>
          <t>%</t>
        </is>
      </c>
      <c r="D20" s="21" t="inlineStr">
        <is>
          <t>F8544C</t>
        </is>
      </c>
      <c r="E20" s="21" t="inlineStr">
        <is>
          <t>9AE854</t>
        </is>
      </c>
      <c r="F20" s="21" t="inlineStr">
        <is>
          <t>&lt;=0.035</t>
        </is>
      </c>
      <c r="G20" s="21" t="inlineStr">
        <is>
          <t>&gt;=0.2</t>
        </is>
      </c>
    </row>
    <row r="21">
      <c r="A21" s="13" t="inlineStr">
        <is>
          <t>skew_x</t>
        </is>
      </c>
      <c r="B21" s="13" t="inlineStr">
        <is>
          <t>偏度(加权)</t>
        </is>
      </c>
      <c r="C21" s="21" t="n">
        <v>2</v>
      </c>
      <c r="D21" s="21" t="inlineStr">
        <is>
          <t>F8544C</t>
        </is>
      </c>
      <c r="E21" s="21" t="inlineStr">
        <is>
          <t>9AE854</t>
        </is>
      </c>
      <c r="F21" s="21" t="n"/>
      <c r="G21" s="21" t="n"/>
    </row>
    <row r="22">
      <c r="A22" s="18" t="inlineStr">
        <is>
          <t>kurtosis_x</t>
        </is>
      </c>
      <c r="B22" s="18" t="inlineStr">
        <is>
          <t>峰度(加权)</t>
        </is>
      </c>
      <c r="C22" s="19" t="n">
        <v>2</v>
      </c>
      <c r="D22" s="19" t="inlineStr">
        <is>
          <t>9AE854</t>
        </is>
      </c>
      <c r="E22" s="19" t="inlineStr">
        <is>
          <t>F8544C</t>
        </is>
      </c>
      <c r="F22" s="19" t="n"/>
      <c r="G22" s="19" t="n"/>
    </row>
    <row r="23">
      <c r="A23" s="18" t="inlineStr">
        <is>
          <t>main_create</t>
        </is>
      </c>
      <c r="B23" s="18" t="inlineStr">
        <is>
          <t>主力建仓(avg)</t>
        </is>
      </c>
      <c r="C23" s="19" t="n">
        <v>0</v>
      </c>
      <c r="D23" s="19" t="inlineStr">
        <is>
          <t>9AE854</t>
        </is>
      </c>
      <c r="E23" s="19" t="inlineStr">
        <is>
          <t>F8544C</t>
        </is>
      </c>
      <c r="F23" s="19" t="inlineStr">
        <is>
          <t>&gt;=200</t>
        </is>
      </c>
      <c r="G23" s="19" t="n"/>
    </row>
    <row r="24">
      <c r="A24" s="18" t="inlineStr">
        <is>
          <t>min_price</t>
        </is>
      </c>
      <c r="B24" s="18" t="inlineStr">
        <is>
          <t>新低数120d(avg)</t>
        </is>
      </c>
      <c r="C24" s="19" t="n">
        <v>0</v>
      </c>
      <c r="D24" s="19" t="inlineStr">
        <is>
          <t>9AE854</t>
        </is>
      </c>
      <c r="E24" s="19" t="inlineStr">
        <is>
          <t>F8544C</t>
        </is>
      </c>
      <c r="F24" s="19" t="inlineStr">
        <is>
          <t>&gt;=1500</t>
        </is>
      </c>
      <c r="G24" s="19" t="n"/>
    </row>
    <row r="25">
      <c r="A25" s="13" t="inlineStr">
        <is>
          <t>max_price</t>
        </is>
      </c>
      <c r="B25" s="13" t="inlineStr">
        <is>
          <t>新高数120d(avg)</t>
        </is>
      </c>
      <c r="C25" s="21" t="n">
        <v>0</v>
      </c>
      <c r="D25" s="21" t="inlineStr">
        <is>
          <t>F8544C</t>
        </is>
      </c>
      <c r="E25" s="21" t="inlineStr">
        <is>
          <t>9AE854</t>
        </is>
      </c>
      <c r="F25" s="21" t="inlineStr">
        <is>
          <t>&lt;=20</t>
        </is>
      </c>
      <c r="G25" s="21" t="inlineStr">
        <is>
          <t>&gt;=1000</t>
        </is>
      </c>
    </row>
    <row r="26">
      <c r="A26" s="18" t="inlineStr">
        <is>
          <t>shadow</t>
        </is>
      </c>
      <c r="B26" s="18" t="inlineStr">
        <is>
          <t>下影线数120d(avg)</t>
        </is>
      </c>
      <c r="C26" s="19" t="n">
        <v>0</v>
      </c>
      <c r="D26" s="19" t="inlineStr">
        <is>
          <t>9AE854</t>
        </is>
      </c>
      <c r="E26" s="19" t="inlineStr">
        <is>
          <t>F8544C</t>
        </is>
      </c>
      <c r="F26" s="19" t="inlineStr">
        <is>
          <t>&gt;=2000</t>
        </is>
      </c>
      <c r="G26" s="19" t="n"/>
    </row>
    <row r="27">
      <c r="A27" s="13" t="inlineStr">
        <is>
          <t>close_rmb</t>
        </is>
      </c>
      <c r="B27" s="13" t="inlineStr">
        <is>
          <t>人民币</t>
        </is>
      </c>
      <c r="C27" s="21" t="n">
        <v>2</v>
      </c>
      <c r="D27" s="21" t="inlineStr">
        <is>
          <t>F8544C</t>
        </is>
      </c>
      <c r="E27" s="21" t="inlineStr">
        <is>
          <t>9AE854</t>
        </is>
      </c>
      <c r="F27" s="21" t="inlineStr">
        <is>
          <t>&lt;=7</t>
        </is>
      </c>
      <c r="G27" s="21" t="inlineStr">
        <is>
          <t>&lt;=6.4</t>
        </is>
      </c>
    </row>
    <row r="28">
      <c r="A28" s="13" t="inlineStr">
        <is>
          <t>rng_rmb</t>
        </is>
      </c>
      <c r="B28" s="13" t="inlineStr">
        <is>
          <t>人民币涨跌幅</t>
        </is>
      </c>
      <c r="C28" s="21" t="n">
        <v>2</v>
      </c>
      <c r="D28" s="21" t="inlineStr">
        <is>
          <t>F8544C</t>
        </is>
      </c>
      <c r="E28" s="21" t="inlineStr">
        <is>
          <t>9AE854</t>
        </is>
      </c>
      <c r="F28" s="21" t="inlineStr">
        <is>
          <t>&lt;=-0.6</t>
        </is>
      </c>
      <c r="G28" s="21" t="inlineStr">
        <is>
          <t>&gt;=0.6</t>
        </is>
      </c>
    </row>
    <row r="29">
      <c r="A29" s="13" t="inlineStr">
        <is>
          <t>rng5_rmb</t>
        </is>
      </c>
      <c r="B29" s="13" t="inlineStr">
        <is>
          <t>人民币5日涨跌幅</t>
        </is>
      </c>
      <c r="C29" s="21" t="n">
        <v>2</v>
      </c>
      <c r="D29" s="21" t="inlineStr">
        <is>
          <t>F8544C</t>
        </is>
      </c>
      <c r="E29" s="21" t="inlineStr">
        <is>
          <t>9AE854</t>
        </is>
      </c>
      <c r="F29" s="21" t="inlineStr">
        <is>
          <t>&lt;=-1.5</t>
        </is>
      </c>
      <c r="G29" s="21" t="inlineStr">
        <is>
          <t>&gt;=1.5</t>
        </is>
      </c>
    </row>
    <row r="30">
      <c r="A30" s="13" t="inlineStr">
        <is>
          <t>rng20_rmb</t>
        </is>
      </c>
      <c r="B30" s="13" t="inlineStr">
        <is>
          <t>人民币20日涨跌幅</t>
        </is>
      </c>
      <c r="C30" s="21" t="n">
        <v>2</v>
      </c>
      <c r="D30" s="21" t="inlineStr">
        <is>
          <t>F8544C</t>
        </is>
      </c>
      <c r="E30" s="21" t="inlineStr">
        <is>
          <t>9AE854</t>
        </is>
      </c>
      <c r="F30" s="21" t="inlineStr">
        <is>
          <t>&lt;=-3</t>
        </is>
      </c>
      <c r="G30" s="21" t="inlineStr">
        <is>
          <t>&gt;=3</t>
        </is>
      </c>
    </row>
    <row r="31">
      <c r="A31" s="13" t="inlineStr">
        <is>
          <t>rng60_rmb</t>
        </is>
      </c>
      <c r="B31" s="13" t="inlineStr">
        <is>
          <t>人民币60日涨跌幅</t>
        </is>
      </c>
      <c r="C31" s="21" t="n">
        <v>2</v>
      </c>
      <c r="D31" s="21" t="inlineStr">
        <is>
          <t>F8544C</t>
        </is>
      </c>
      <c r="E31" s="21" t="inlineStr">
        <is>
          <t>9AE854</t>
        </is>
      </c>
      <c r="F31" s="21" t="inlineStr">
        <is>
          <t>&lt;=-4.5</t>
        </is>
      </c>
      <c r="G31" s="21" t="inlineStr">
        <is>
          <t>&gt;=4.5</t>
        </is>
      </c>
    </row>
    <row r="32">
      <c r="A32" s="18" t="inlineStr">
        <is>
          <t>当日成交净买额</t>
        </is>
      </c>
      <c r="B32" s="18" t="inlineStr">
        <is>
          <t>北向日净买</t>
        </is>
      </c>
      <c r="C32" s="19" t="n">
        <v>2</v>
      </c>
      <c r="D32" s="19" t="inlineStr">
        <is>
          <t>9AE854</t>
        </is>
      </c>
      <c r="E32" s="19" t="inlineStr">
        <is>
          <t>F8544C</t>
        </is>
      </c>
      <c r="F32" s="19" t="inlineStr">
        <is>
          <t>&gt;=80</t>
        </is>
      </c>
      <c r="G32" s="19" t="inlineStr">
        <is>
          <t>&lt;=-80</t>
        </is>
      </c>
    </row>
    <row r="33">
      <c r="A33" s="18" t="inlineStr">
        <is>
          <t>历史累计净买额</t>
        </is>
      </c>
      <c r="B33" s="18" t="inlineStr">
        <is>
          <t>北向累计净买</t>
        </is>
      </c>
      <c r="C33" s="19" t="n">
        <v>2</v>
      </c>
      <c r="D33" s="19" t="inlineStr">
        <is>
          <t>9AE854</t>
        </is>
      </c>
      <c r="E33" s="19" t="inlineStr">
        <is>
          <t>F8544C</t>
        </is>
      </c>
      <c r="F33" s="19" t="n"/>
      <c r="G33" s="19" t="n"/>
    </row>
    <row r="34">
      <c r="A34" s="13" t="inlineStr">
        <is>
          <t>high60a</t>
        </is>
      </c>
      <c r="B34" s="13" t="inlineStr">
        <is>
          <t>新高数60d</t>
        </is>
      </c>
      <c r="C34" s="21" t="n">
        <v>0</v>
      </c>
      <c r="D34" s="21" t="inlineStr">
        <is>
          <t>F8544C</t>
        </is>
      </c>
      <c r="E34" s="21" t="inlineStr">
        <is>
          <t>9AE854</t>
        </is>
      </c>
      <c r="F34" s="21" t="inlineStr">
        <is>
          <t>&lt;=50</t>
        </is>
      </c>
      <c r="G34" s="21" t="inlineStr">
        <is>
          <t>&gt;=600</t>
        </is>
      </c>
    </row>
    <row r="35">
      <c r="A35" s="18" t="inlineStr">
        <is>
          <t>low60a</t>
        </is>
      </c>
      <c r="B35" s="18" t="inlineStr">
        <is>
          <t>新低数60d</t>
        </is>
      </c>
      <c r="C35" s="19" t="n">
        <v>0</v>
      </c>
      <c r="D35" s="19" t="inlineStr">
        <is>
          <t>9AE854</t>
        </is>
      </c>
      <c r="E35" s="19" t="inlineStr">
        <is>
          <t>F8544C</t>
        </is>
      </c>
      <c r="F35" s="19" t="inlineStr">
        <is>
          <t>&gt;=600</t>
        </is>
      </c>
      <c r="G35" s="19" t="n"/>
    </row>
    <row r="36">
      <c r="A36" s="13" t="inlineStr">
        <is>
          <t>high60ic</t>
        </is>
      </c>
      <c r="B36" s="13" t="inlineStr">
        <is>
          <t>新高数60d(zz500)</t>
        </is>
      </c>
      <c r="C36" s="21" t="n">
        <v>0</v>
      </c>
      <c r="D36" s="21" t="inlineStr">
        <is>
          <t>F8544C</t>
        </is>
      </c>
      <c r="E36" s="21" t="inlineStr">
        <is>
          <t>9AE854</t>
        </is>
      </c>
      <c r="F36" s="21" t="inlineStr">
        <is>
          <t>&lt;=1</t>
        </is>
      </c>
      <c r="G36" s="21" t="inlineStr">
        <is>
          <t>&gt;=75</t>
        </is>
      </c>
    </row>
    <row r="37">
      <c r="A37" s="18" t="inlineStr">
        <is>
          <t>low60ic</t>
        </is>
      </c>
      <c r="B37" s="18" t="inlineStr">
        <is>
          <t>新低数60d(zz500)</t>
        </is>
      </c>
      <c r="C37" s="19" t="n">
        <v>0</v>
      </c>
      <c r="D37" s="19" t="inlineStr">
        <is>
          <t>9AE854</t>
        </is>
      </c>
      <c r="E37" s="19" t="inlineStr">
        <is>
          <t>F8544C</t>
        </is>
      </c>
      <c r="F37" s="19" t="inlineStr">
        <is>
          <t>&gt;=250</t>
        </is>
      </c>
      <c r="G37" s="19" t="n"/>
    </row>
    <row r="38">
      <c r="A38" s="13" t="inlineStr">
        <is>
          <t>fut_idx</t>
        </is>
      </c>
      <c r="B38" s="13" t="inlineStr">
        <is>
          <t>奇货股指(qhkch)</t>
        </is>
      </c>
      <c r="C38" s="21" t="n">
        <v>0</v>
      </c>
      <c r="D38" s="21" t="inlineStr">
        <is>
          <t>F8544C</t>
        </is>
      </c>
      <c r="E38" s="21" t="inlineStr">
        <is>
          <t>9AE854</t>
        </is>
      </c>
      <c r="F38" s="21" t="n"/>
      <c r="G38" s="21" t="n"/>
    </row>
    <row r="39">
      <c r="A39" s="13" t="inlineStr">
        <is>
          <t>pos_value</t>
        </is>
      </c>
      <c r="B39" s="13" t="inlineStr">
        <is>
          <t>股指持仓市值(亿)</t>
        </is>
      </c>
      <c r="C39" s="21" t="n">
        <v>2</v>
      </c>
      <c r="D39" s="21" t="inlineStr">
        <is>
          <t>F8544C</t>
        </is>
      </c>
      <c r="E39" s="21" t="inlineStr">
        <is>
          <t>9AE854</t>
        </is>
      </c>
      <c r="F39" s="21" t="n"/>
      <c r="G39" s="21" t="n"/>
    </row>
    <row r="40">
      <c r="A40" s="18" t="inlineStr">
        <is>
          <t>long_short_ratio</t>
        </is>
      </c>
      <c r="B40" s="18" t="inlineStr">
        <is>
          <t>多空比</t>
        </is>
      </c>
      <c r="C40" s="19" t="n">
        <v>2</v>
      </c>
      <c r="D40" s="19" t="inlineStr">
        <is>
          <t>9AE854</t>
        </is>
      </c>
      <c r="E40" s="19" t="inlineStr">
        <is>
          <t>F8544C</t>
        </is>
      </c>
      <c r="F40" s="19" t="inlineStr">
        <is>
          <t>&gt;=47</t>
        </is>
      </c>
      <c r="G40" s="19" t="inlineStr">
        <is>
          <t>&lt;=45</t>
        </is>
      </c>
    </row>
    <row r="41">
      <c r="A41" s="18" t="inlineStr">
        <is>
          <t>long_short_val</t>
        </is>
      </c>
      <c r="B41" s="18" t="inlineStr">
        <is>
          <t>多空差(亿)</t>
        </is>
      </c>
      <c r="C41" s="19" t="n">
        <v>2</v>
      </c>
      <c r="D41" s="19" t="inlineStr">
        <is>
          <t>9AE854</t>
        </is>
      </c>
      <c r="E41" s="19" t="inlineStr">
        <is>
          <t>F8544C</t>
        </is>
      </c>
      <c r="F41" s="19" t="inlineStr">
        <is>
          <t>&gt;=-700</t>
        </is>
      </c>
      <c r="G41" s="19" t="inlineStr">
        <is>
          <t>&lt;=-1000</t>
        </is>
      </c>
    </row>
    <row r="42">
      <c r="A42" s="13" t="inlineStr">
        <is>
          <t>if_net_ss_n</t>
        </is>
      </c>
      <c r="B42" s="13" t="inlineStr">
        <is>
          <t>沪深300当月空单</t>
        </is>
      </c>
      <c r="C42" s="21" t="n">
        <v>0</v>
      </c>
      <c r="D42" s="21" t="inlineStr">
        <is>
          <t>F8544C</t>
        </is>
      </c>
      <c r="E42" s="21" t="inlineStr">
        <is>
          <t>9AE854</t>
        </is>
      </c>
      <c r="F42" s="21" t="n"/>
      <c r="G42" s="21" t="n"/>
    </row>
    <row r="43">
      <c r="A43" s="18" t="inlineStr">
        <is>
          <t>if_net_buy_n</t>
        </is>
      </c>
      <c r="B43" s="18" t="inlineStr">
        <is>
          <t>沪深300当月多单</t>
        </is>
      </c>
      <c r="C43" s="19" t="n">
        <v>0</v>
      </c>
      <c r="D43" s="19" t="inlineStr">
        <is>
          <t>9AE854</t>
        </is>
      </c>
      <c r="E43" s="19" t="inlineStr">
        <is>
          <t>F8544C</t>
        </is>
      </c>
      <c r="F43" s="19" t="n"/>
      <c r="G43" s="19" t="n"/>
    </row>
    <row r="44">
      <c r="A44" s="13" t="inlineStr">
        <is>
          <t>if_net_ss_a</t>
        </is>
      </c>
      <c r="B44" s="13" t="inlineStr">
        <is>
          <t>沪深300累计空单</t>
        </is>
      </c>
      <c r="C44" s="21" t="n">
        <v>0</v>
      </c>
      <c r="D44" s="21" t="inlineStr">
        <is>
          <t>F8544C</t>
        </is>
      </c>
      <c r="E44" s="21" t="inlineStr">
        <is>
          <t>9AE854</t>
        </is>
      </c>
      <c r="F44" s="21" t="n"/>
      <c r="G44" s="21" t="n"/>
    </row>
    <row r="45">
      <c r="A45" s="18" t="inlineStr">
        <is>
          <t>if_net_buy_a</t>
        </is>
      </c>
      <c r="B45" s="18" t="inlineStr">
        <is>
          <t>沪深300累计多单</t>
        </is>
      </c>
      <c r="C45" s="19" t="n">
        <v>0</v>
      </c>
      <c r="D45" s="19" t="inlineStr">
        <is>
          <t>9AE854</t>
        </is>
      </c>
      <c r="E45" s="19" t="inlineStr">
        <is>
          <t>F8544C</t>
        </is>
      </c>
      <c r="F45" s="19" t="n"/>
      <c r="G45" s="19" t="n"/>
    </row>
    <row r="46">
      <c r="A46" s="13" t="inlineStr">
        <is>
          <t>net_ss_n</t>
        </is>
      </c>
      <c r="B46" s="13" t="inlineStr">
        <is>
          <t>当月净空单</t>
        </is>
      </c>
      <c r="C46" s="21" t="n">
        <v>0</v>
      </c>
      <c r="D46" s="21" t="inlineStr">
        <is>
          <t>F8544C</t>
        </is>
      </c>
      <c r="E46" s="21" t="inlineStr">
        <is>
          <t>9AE854</t>
        </is>
      </c>
      <c r="F46" s="21" t="inlineStr">
        <is>
          <t>&lt;=10000</t>
        </is>
      </c>
      <c r="G46" s="21" t="inlineStr">
        <is>
          <t>&gt;=60000</t>
        </is>
      </c>
    </row>
    <row r="47">
      <c r="A47" s="18" t="inlineStr">
        <is>
          <t>net_buy_n</t>
        </is>
      </c>
      <c r="B47" s="18" t="inlineStr">
        <is>
          <t>当月净多单</t>
        </is>
      </c>
      <c r="C47" s="19" t="n">
        <v>0</v>
      </c>
      <c r="D47" s="19" t="inlineStr">
        <is>
          <t>9AE854</t>
        </is>
      </c>
      <c r="E47" s="19" t="inlineStr">
        <is>
          <t>F8544C</t>
        </is>
      </c>
      <c r="F47" s="19" t="inlineStr">
        <is>
          <t>&gt;=20000</t>
        </is>
      </c>
      <c r="G47" s="19" t="inlineStr">
        <is>
          <t>&lt;=0</t>
        </is>
      </c>
    </row>
    <row r="48">
      <c r="A48" s="13" t="inlineStr">
        <is>
          <t>net_ss_a</t>
        </is>
      </c>
      <c r="B48" s="13" t="inlineStr">
        <is>
          <t>累计净空单</t>
        </is>
      </c>
      <c r="C48" s="21" t="n">
        <v>0</v>
      </c>
      <c r="D48" s="21" t="inlineStr">
        <is>
          <t>F8544C</t>
        </is>
      </c>
      <c r="E48" s="21" t="inlineStr">
        <is>
          <t>9AE854</t>
        </is>
      </c>
      <c r="F48" s="21" t="inlineStr">
        <is>
          <t>&lt;=120000</t>
        </is>
      </c>
      <c r="G48" s="21" t="inlineStr">
        <is>
          <t>&gt;=200000</t>
        </is>
      </c>
    </row>
    <row r="49">
      <c r="A49" s="18" t="inlineStr">
        <is>
          <t>net_buy_a</t>
        </is>
      </c>
      <c r="B49" s="18" t="inlineStr">
        <is>
          <t>累计净多单</t>
        </is>
      </c>
      <c r="C49" s="19" t="n">
        <v>0</v>
      </c>
      <c r="D49" s="19" t="inlineStr">
        <is>
          <t>9AE854</t>
        </is>
      </c>
      <c r="E49" s="19" t="inlineStr">
        <is>
          <t>F8544C</t>
        </is>
      </c>
      <c r="F49" s="19" t="inlineStr">
        <is>
          <t>&gt;=0</t>
        </is>
      </c>
      <c r="G49" s="19" t="inlineStr">
        <is>
          <t>&lt;=-20000</t>
        </is>
      </c>
    </row>
    <row r="50">
      <c r="A50" s="13" t="inlineStr">
        <is>
          <t>winner_y</t>
        </is>
      </c>
      <c r="B50" s="13" t="inlineStr">
        <is>
          <t>获利比(sh)</t>
        </is>
      </c>
      <c r="C50" s="21" t="inlineStr">
        <is>
          <t>%</t>
        </is>
      </c>
      <c r="D50" s="21" t="inlineStr">
        <is>
          <t>F8544C</t>
        </is>
      </c>
      <c r="E50" s="21" t="inlineStr">
        <is>
          <t>9AE854</t>
        </is>
      </c>
      <c r="F50" s="21" t="inlineStr">
        <is>
          <t>&lt;=0.03</t>
        </is>
      </c>
      <c r="G50" s="21" t="inlineStr">
        <is>
          <t>&gt;=0.98</t>
        </is>
      </c>
    </row>
    <row r="51">
      <c r="A51" s="13" t="inlineStr">
        <is>
          <t>winPeak_y</t>
        </is>
      </c>
      <c r="B51" s="13" t="inlineStr">
        <is>
          <t>筹码峰获利比(sh)</t>
        </is>
      </c>
      <c r="C51" s="21" t="inlineStr">
        <is>
          <t>%</t>
        </is>
      </c>
      <c r="D51" s="21" t="inlineStr">
        <is>
          <t>F8544C</t>
        </is>
      </c>
      <c r="E51" s="21" t="inlineStr">
        <is>
          <t>9AE854</t>
        </is>
      </c>
      <c r="F51" s="21" t="n"/>
      <c r="G51" s="21" t="inlineStr">
        <is>
          <t>&gt;=0.35</t>
        </is>
      </c>
    </row>
    <row r="52">
      <c r="A52" s="18" t="inlineStr">
        <is>
          <t>winLow30_y</t>
        </is>
      </c>
      <c r="B52" s="18" t="inlineStr">
        <is>
          <t>底部30%获利比(sh)</t>
        </is>
      </c>
      <c r="C52" s="19" t="inlineStr">
        <is>
          <t>%</t>
        </is>
      </c>
      <c r="D52" s="19" t="inlineStr">
        <is>
          <t>9AE854</t>
        </is>
      </c>
      <c r="E52" s="19" t="inlineStr">
        <is>
          <t>F8544C</t>
        </is>
      </c>
      <c r="F52" s="19" t="n"/>
      <c r="G52" s="19" t="n"/>
    </row>
    <row r="53">
      <c r="A53" s="13" t="inlineStr">
        <is>
          <t>winHigh30_y</t>
        </is>
      </c>
      <c r="B53" s="13" t="inlineStr">
        <is>
          <t>顶部30%获利比(sh)</t>
        </is>
      </c>
      <c r="C53" s="21" t="inlineStr">
        <is>
          <t>%</t>
        </is>
      </c>
      <c r="D53" s="21" t="inlineStr">
        <is>
          <t>F8544C</t>
        </is>
      </c>
      <c r="E53" s="21" t="inlineStr">
        <is>
          <t>9AE854</t>
        </is>
      </c>
      <c r="F53" s="21" t="n"/>
      <c r="G53" s="21" t="inlineStr">
        <is>
          <t>&gt;=0.34</t>
        </is>
      </c>
    </row>
    <row r="54">
      <c r="A54" s="22" t="inlineStr">
        <is>
          <t>winLow20_y</t>
        </is>
      </c>
      <c r="B54" s="22" t="inlineStr">
        <is>
          <t>底部20%获利比(sh)</t>
        </is>
      </c>
      <c r="C54" s="23" t="inlineStr">
        <is>
          <t>%</t>
        </is>
      </c>
      <c r="D54" s="19" t="inlineStr">
        <is>
          <t>9AE854</t>
        </is>
      </c>
      <c r="E54" s="19" t="inlineStr">
        <is>
          <t>F8544C</t>
        </is>
      </c>
      <c r="F54" s="19" t="n"/>
      <c r="G54" s="19" t="n"/>
    </row>
    <row r="55">
      <c r="A55" s="13" t="inlineStr">
        <is>
          <t>winHigh20_y</t>
        </is>
      </c>
      <c r="B55" s="13" t="inlineStr">
        <is>
          <t>顶部20%获利比(sh)</t>
        </is>
      </c>
      <c r="C55" s="21" t="inlineStr">
        <is>
          <t>%</t>
        </is>
      </c>
      <c r="D55" s="21" t="inlineStr">
        <is>
          <t>F8544C</t>
        </is>
      </c>
      <c r="E55" s="21" t="inlineStr">
        <is>
          <t>9AE854</t>
        </is>
      </c>
      <c r="F55" s="21" t="n"/>
      <c r="G55" s="21" t="inlineStr">
        <is>
          <t>&gt;=0.16</t>
        </is>
      </c>
    </row>
    <row r="56">
      <c r="A56" s="13" t="inlineStr">
        <is>
          <t>pricePeak</t>
        </is>
      </c>
      <c r="B56" s="13" t="inlineStr">
        <is>
          <t>筹码峰价格(sh)</t>
        </is>
      </c>
      <c r="C56" s="21" t="n">
        <v>1</v>
      </c>
      <c r="D56" s="21" t="inlineStr">
        <is>
          <t>F8544C</t>
        </is>
      </c>
      <c r="E56" s="21" t="inlineStr">
        <is>
          <t>9AE854</t>
        </is>
      </c>
      <c r="F56" s="21" t="n"/>
      <c r="G56" s="21" t="n"/>
    </row>
    <row r="57">
      <c r="A57" s="13" t="inlineStr">
        <is>
          <t>skew_y</t>
        </is>
      </c>
      <c r="B57" s="13" t="inlineStr">
        <is>
          <t>偏度(sh)</t>
        </is>
      </c>
      <c r="C57" s="21" t="n">
        <v>2</v>
      </c>
      <c r="D57" s="21" t="inlineStr">
        <is>
          <t>F8544C</t>
        </is>
      </c>
      <c r="E57" s="21" t="inlineStr">
        <is>
          <t>9AE854</t>
        </is>
      </c>
      <c r="F57" s="21" t="inlineStr">
        <is>
          <t>&lt;=0.6</t>
        </is>
      </c>
      <c r="G57" s="21" t="n"/>
    </row>
    <row r="58">
      <c r="A58" s="18" t="inlineStr">
        <is>
          <t>kurtosis_y</t>
        </is>
      </c>
      <c r="B58" s="18" t="inlineStr">
        <is>
          <t>峰度(sh)</t>
        </is>
      </c>
      <c r="C58" s="19" t="n">
        <v>2</v>
      </c>
      <c r="D58" s="19" t="inlineStr">
        <is>
          <t>9AE854</t>
        </is>
      </c>
      <c r="E58" s="19" t="inlineStr">
        <is>
          <t>F8544C</t>
        </is>
      </c>
      <c r="F58" s="19" t="n"/>
      <c r="G58" s="19" t="inlineStr">
        <is>
          <t>&gt;=3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="85" zoomScaleNormal="85" workbookViewId="0">
      <selection activeCell="A20" sqref="A20"/>
    </sheetView>
  </sheetViews>
  <sheetFormatPr baseColWidth="8" defaultColWidth="8.888888888888889" defaultRowHeight="14.4"/>
  <cols>
    <col width="19.7777777777778" customWidth="1" style="3" min="1" max="2"/>
    <col width="6.11111111111111" customWidth="1" style="3" min="3" max="3"/>
    <col width="14.4444444444444" customWidth="1" style="3" min="4" max="4"/>
    <col width="11.8888888888889" customWidth="1" style="3" min="5" max="6"/>
    <col width="13.1111111111111" customWidth="1" style="3" min="7" max="7"/>
  </cols>
  <sheetData>
    <row r="1" ht="17" customFormat="1" customHeight="1" s="1">
      <c r="A1" s="16" t="inlineStr">
        <is>
          <t>col_name</t>
        </is>
      </c>
      <c r="B1" s="16" t="inlineStr">
        <is>
          <t>title_name</t>
        </is>
      </c>
      <c r="C1" s="17" t="inlineStr">
        <is>
          <t>unit</t>
        </is>
      </c>
      <c r="D1" s="17" t="inlineStr">
        <is>
          <t>start_color</t>
        </is>
      </c>
      <c r="E1" s="17" t="inlineStr">
        <is>
          <t>end_color</t>
        </is>
      </c>
      <c r="F1" s="17" t="inlineStr">
        <is>
          <t>limit_buy</t>
        </is>
      </c>
      <c r="G1" s="17" t="inlineStr">
        <is>
          <t>limit_sell</t>
        </is>
      </c>
    </row>
    <row r="2">
      <c r="A2" s="13" t="inlineStr">
        <is>
          <t>date</t>
        </is>
      </c>
      <c r="B2" s="13" t="inlineStr">
        <is>
          <t>日期</t>
        </is>
      </c>
      <c r="C2" s="21" t="n"/>
      <c r="D2" s="21" t="n"/>
      <c r="E2" s="21" t="n"/>
      <c r="F2" s="21" t="n"/>
      <c r="G2" s="21" t="n"/>
    </row>
    <row r="3">
      <c r="A3" s="13" t="inlineStr">
        <is>
          <t>hk50:EIDE</t>
        </is>
      </c>
      <c r="B3" s="13" t="inlineStr">
        <is>
          <t>hk50:EIDE</t>
        </is>
      </c>
      <c r="C3" s="21" t="n"/>
      <c r="D3" s="21" t="n"/>
      <c r="E3" s="21" t="n"/>
      <c r="F3" s="21" t="n"/>
      <c r="G3" s="21" t="n"/>
    </row>
    <row r="4">
      <c r="A4" s="13" t="inlineStr">
        <is>
          <t>hk50:RNG60</t>
        </is>
      </c>
      <c r="B4" s="13" t="inlineStr">
        <is>
          <t>hk50:RNG60</t>
        </is>
      </c>
      <c r="C4" s="21" t="n">
        <v>2</v>
      </c>
      <c r="D4" s="21" t="inlineStr">
        <is>
          <t>F8544C</t>
        </is>
      </c>
      <c r="E4" s="21" t="inlineStr">
        <is>
          <t>9AE854</t>
        </is>
      </c>
      <c r="F4" s="21" t="inlineStr">
        <is>
          <t>&lt;=-10</t>
        </is>
      </c>
      <c r="G4" s="21" t="inlineStr">
        <is>
          <t>&gt;=10</t>
        </is>
      </c>
    </row>
    <row r="5">
      <c r="A5" s="13" t="inlineStr">
        <is>
          <t>hk50:RNG120</t>
        </is>
      </c>
      <c r="B5" s="13" t="inlineStr">
        <is>
          <t>hk50:RNG120</t>
        </is>
      </c>
      <c r="C5" s="21" t="n">
        <v>2</v>
      </c>
      <c r="D5" s="21" t="inlineStr">
        <is>
          <t>F8544C</t>
        </is>
      </c>
      <c r="E5" s="21" t="inlineStr">
        <is>
          <t>9AE854</t>
        </is>
      </c>
      <c r="F5" s="21" t="inlineStr">
        <is>
          <t>&lt;=-20</t>
        </is>
      </c>
      <c r="G5" s="21" t="inlineStr">
        <is>
          <t>&gt;=20</t>
        </is>
      </c>
    </row>
    <row r="6">
      <c r="A6" s="18" t="inlineStr">
        <is>
          <t>hk50:MAIN_STOCK</t>
        </is>
      </c>
      <c r="B6" s="18" t="inlineStr">
        <is>
          <t>hk50:MAIN_STOCK</t>
        </is>
      </c>
      <c r="C6" s="19" t="n">
        <v>2</v>
      </c>
      <c r="D6" s="19" t="inlineStr">
        <is>
          <t>9AE854</t>
        </is>
      </c>
      <c r="E6" s="19" t="inlineStr">
        <is>
          <t>F8544C</t>
        </is>
      </c>
      <c r="F6" s="19" t="inlineStr">
        <is>
          <t>&gt;=95</t>
        </is>
      </c>
      <c r="G6" s="19" t="inlineStr">
        <is>
          <t>&lt;=1</t>
        </is>
      </c>
    </row>
    <row r="7">
      <c r="A7" s="20" t="inlineStr">
        <is>
          <t>hk50:ORG_CHIP</t>
        </is>
      </c>
      <c r="B7" s="13" t="inlineStr">
        <is>
          <t>hk50:ORG_CHIP</t>
        </is>
      </c>
      <c r="C7" s="21" t="n">
        <v>2</v>
      </c>
      <c r="D7" s="21" t="inlineStr">
        <is>
          <t>F8544C</t>
        </is>
      </c>
      <c r="E7" s="21" t="inlineStr">
        <is>
          <t>9AE854</t>
        </is>
      </c>
      <c r="F7" s="21" t="inlineStr">
        <is>
          <t>&lt;=1</t>
        </is>
      </c>
      <c r="G7" s="21" t="inlineStr">
        <is>
          <t>&gt;=100</t>
        </is>
      </c>
    </row>
    <row r="8">
      <c r="A8" s="13" t="inlineStr">
        <is>
          <t>us500:EIDE</t>
        </is>
      </c>
      <c r="B8" s="13" t="inlineStr">
        <is>
          <t>us500:EIDE</t>
        </is>
      </c>
      <c r="C8" s="21" t="n"/>
      <c r="D8" s="21" t="n"/>
      <c r="E8" s="21" t="n"/>
      <c r="F8" s="21" t="n"/>
      <c r="G8" s="21" t="n"/>
    </row>
    <row r="9">
      <c r="A9" s="13" t="inlineStr">
        <is>
          <t>us500:RNG60</t>
        </is>
      </c>
      <c r="B9" s="13" t="inlineStr">
        <is>
          <t>us500:RNG60</t>
        </is>
      </c>
      <c r="C9" s="21" t="n">
        <v>2</v>
      </c>
      <c r="D9" s="21" t="inlineStr">
        <is>
          <t>F8544C</t>
        </is>
      </c>
      <c r="E9" s="21" t="inlineStr">
        <is>
          <t>9AE854</t>
        </is>
      </c>
      <c r="F9" s="21" t="inlineStr">
        <is>
          <t>&lt;=-10</t>
        </is>
      </c>
      <c r="G9" s="21" t="inlineStr">
        <is>
          <t>&gt;=10</t>
        </is>
      </c>
    </row>
    <row r="10">
      <c r="A10" s="13" t="inlineStr">
        <is>
          <t>us500:RNG120</t>
        </is>
      </c>
      <c r="B10" s="13" t="inlineStr">
        <is>
          <t>us500:RNG120</t>
        </is>
      </c>
      <c r="C10" s="21" t="n">
        <v>2</v>
      </c>
      <c r="D10" s="21" t="inlineStr">
        <is>
          <t>F8544C</t>
        </is>
      </c>
      <c r="E10" s="21" t="inlineStr">
        <is>
          <t>9AE854</t>
        </is>
      </c>
      <c r="F10" s="21" t="inlineStr">
        <is>
          <t>&lt;=-20</t>
        </is>
      </c>
      <c r="G10" s="21" t="inlineStr">
        <is>
          <t>&gt;=20</t>
        </is>
      </c>
    </row>
    <row r="11">
      <c r="A11" s="18" t="inlineStr">
        <is>
          <t>us500:MAIN_STOCK</t>
        </is>
      </c>
      <c r="B11" s="18" t="inlineStr">
        <is>
          <t>us500:MAIN_STOCK</t>
        </is>
      </c>
      <c r="C11" s="19" t="n">
        <v>2</v>
      </c>
      <c r="D11" s="19" t="inlineStr">
        <is>
          <t>9AE854</t>
        </is>
      </c>
      <c r="E11" s="19" t="inlineStr">
        <is>
          <t>F8544C</t>
        </is>
      </c>
      <c r="F11" s="19" t="inlineStr">
        <is>
          <t>&gt;=95</t>
        </is>
      </c>
      <c r="G11" s="19" t="inlineStr">
        <is>
          <t>&lt;=1</t>
        </is>
      </c>
    </row>
    <row r="12">
      <c r="A12" s="20" t="inlineStr">
        <is>
          <t>us500:ORG_CHIP</t>
        </is>
      </c>
      <c r="B12" s="13" t="inlineStr">
        <is>
          <t>us500:ORG_CHIP</t>
        </is>
      </c>
      <c r="C12" s="21" t="n">
        <v>2</v>
      </c>
      <c r="D12" s="21" t="inlineStr">
        <is>
          <t>F8544C</t>
        </is>
      </c>
      <c r="E12" s="21" t="inlineStr">
        <is>
          <t>9AE854</t>
        </is>
      </c>
      <c r="F12" s="21" t="inlineStr">
        <is>
          <t>&lt;=1</t>
        </is>
      </c>
      <c r="G12" s="21" t="inlineStr">
        <is>
          <t>&gt;=100</t>
        </is>
      </c>
    </row>
    <row r="13">
      <c r="A13" s="13" t="inlineStr">
        <is>
          <t>us30:EIDE</t>
        </is>
      </c>
      <c r="B13" s="13" t="inlineStr">
        <is>
          <t>us30:EIDE</t>
        </is>
      </c>
      <c r="C13" s="21" t="n"/>
      <c r="D13" s="21" t="n"/>
      <c r="E13" s="21" t="n"/>
      <c r="F13" s="21" t="n"/>
      <c r="G13" s="21" t="n"/>
    </row>
    <row r="14">
      <c r="A14" s="13" t="inlineStr">
        <is>
          <t>us30:RNG60</t>
        </is>
      </c>
      <c r="B14" s="13" t="inlineStr">
        <is>
          <t>us30:RNG60</t>
        </is>
      </c>
      <c r="C14" s="21" t="n">
        <v>2</v>
      </c>
      <c r="D14" s="21" t="inlineStr">
        <is>
          <t>F8544C</t>
        </is>
      </c>
      <c r="E14" s="21" t="inlineStr">
        <is>
          <t>9AE854</t>
        </is>
      </c>
      <c r="F14" s="21" t="inlineStr">
        <is>
          <t>&lt;=-10</t>
        </is>
      </c>
      <c r="G14" s="21" t="inlineStr">
        <is>
          <t>&gt;=10</t>
        </is>
      </c>
    </row>
    <row r="15">
      <c r="A15" s="13" t="inlineStr">
        <is>
          <t>us30:RNG120</t>
        </is>
      </c>
      <c r="B15" s="13" t="inlineStr">
        <is>
          <t>us30:RNG120</t>
        </is>
      </c>
      <c r="C15" s="21" t="n">
        <v>2</v>
      </c>
      <c r="D15" s="21" t="inlineStr">
        <is>
          <t>F8544C</t>
        </is>
      </c>
      <c r="E15" s="21" t="inlineStr">
        <is>
          <t>9AE854</t>
        </is>
      </c>
      <c r="F15" s="21" t="inlineStr">
        <is>
          <t>&lt;=-20</t>
        </is>
      </c>
      <c r="G15" s="21" t="inlineStr">
        <is>
          <t>&gt;=20</t>
        </is>
      </c>
    </row>
    <row r="16">
      <c r="A16" s="18" t="inlineStr">
        <is>
          <t>us30:MAIN_STOCK</t>
        </is>
      </c>
      <c r="B16" s="18" t="inlineStr">
        <is>
          <t>us30:MAIN_STOCK</t>
        </is>
      </c>
      <c r="C16" s="19" t="n">
        <v>2</v>
      </c>
      <c r="D16" s="19" t="inlineStr">
        <is>
          <t>9AE854</t>
        </is>
      </c>
      <c r="E16" s="19" t="inlineStr">
        <is>
          <t>F8544C</t>
        </is>
      </c>
      <c r="F16" s="19" t="inlineStr">
        <is>
          <t>&gt;=95</t>
        </is>
      </c>
      <c r="G16" s="19" t="inlineStr">
        <is>
          <t>&lt;=1</t>
        </is>
      </c>
    </row>
    <row r="17">
      <c r="A17" s="20" t="inlineStr">
        <is>
          <t>us30:ORG_CHIP</t>
        </is>
      </c>
      <c r="B17" s="13" t="inlineStr">
        <is>
          <t>us30:ORG_CHIP</t>
        </is>
      </c>
      <c r="C17" s="21" t="n">
        <v>2</v>
      </c>
      <c r="D17" s="21" t="inlineStr">
        <is>
          <t>F8544C</t>
        </is>
      </c>
      <c r="E17" s="21" t="inlineStr">
        <is>
          <t>9AE854</t>
        </is>
      </c>
      <c r="F17" s="21" t="inlineStr">
        <is>
          <t>&lt;=1</t>
        </is>
      </c>
      <c r="G17" s="21" t="inlineStr">
        <is>
          <t>&gt;=100</t>
        </is>
      </c>
    </row>
    <row r="18">
      <c r="A18" s="13" t="inlineStr">
        <is>
          <t>ixic:EIDE</t>
        </is>
      </c>
      <c r="B18" s="13" t="inlineStr">
        <is>
          <t>ixic:EIDE</t>
        </is>
      </c>
      <c r="C18" s="21" t="n"/>
      <c r="D18" s="21" t="n"/>
      <c r="E18" s="21" t="n"/>
      <c r="F18" s="21" t="n"/>
      <c r="G18" s="21" t="n"/>
    </row>
    <row r="19">
      <c r="A19" s="13" t="inlineStr">
        <is>
          <t>ixic:RNG60</t>
        </is>
      </c>
      <c r="B19" s="13" t="inlineStr">
        <is>
          <t>ixic:RNG60</t>
        </is>
      </c>
      <c r="C19" s="21" t="n">
        <v>2</v>
      </c>
      <c r="D19" s="21" t="inlineStr">
        <is>
          <t>F8544C</t>
        </is>
      </c>
      <c r="E19" s="21" t="inlineStr">
        <is>
          <t>9AE854</t>
        </is>
      </c>
      <c r="F19" s="21" t="inlineStr">
        <is>
          <t>&lt;=-10</t>
        </is>
      </c>
      <c r="G19" s="21" t="inlineStr">
        <is>
          <t>&gt;=10</t>
        </is>
      </c>
    </row>
    <row r="20">
      <c r="A20" s="13" t="inlineStr">
        <is>
          <t>ixic:RNG120</t>
        </is>
      </c>
      <c r="B20" s="13" t="inlineStr">
        <is>
          <t>ixic:RNG120</t>
        </is>
      </c>
      <c r="C20" s="21" t="n">
        <v>2</v>
      </c>
      <c r="D20" s="21" t="inlineStr">
        <is>
          <t>F8544C</t>
        </is>
      </c>
      <c r="E20" s="21" t="inlineStr">
        <is>
          <t>9AE854</t>
        </is>
      </c>
      <c r="F20" s="21" t="inlineStr">
        <is>
          <t>&lt;=-20</t>
        </is>
      </c>
      <c r="G20" s="21" t="inlineStr">
        <is>
          <t>&gt;=20</t>
        </is>
      </c>
    </row>
    <row r="21">
      <c r="A21" s="18" t="inlineStr">
        <is>
          <t>ixic:MAIN_STOCK</t>
        </is>
      </c>
      <c r="B21" s="18" t="inlineStr">
        <is>
          <t>ixic:MAIN_STOCK</t>
        </is>
      </c>
      <c r="C21" s="19" t="n">
        <v>2</v>
      </c>
      <c r="D21" s="19" t="inlineStr">
        <is>
          <t>9AE854</t>
        </is>
      </c>
      <c r="E21" s="19" t="inlineStr">
        <is>
          <t>F8544C</t>
        </is>
      </c>
      <c r="F21" s="19" t="inlineStr">
        <is>
          <t>&gt;=95</t>
        </is>
      </c>
      <c r="G21" s="19" t="inlineStr">
        <is>
          <t>&lt;=1</t>
        </is>
      </c>
    </row>
    <row r="22">
      <c r="A22" s="20" t="inlineStr">
        <is>
          <t>ixic:ORG_CHIP</t>
        </is>
      </c>
      <c r="B22" s="13" t="inlineStr">
        <is>
          <t>ixic:ORG_CHIP</t>
        </is>
      </c>
      <c r="C22" s="21" t="n">
        <v>2</v>
      </c>
      <c r="D22" s="21" t="inlineStr">
        <is>
          <t>F8544C</t>
        </is>
      </c>
      <c r="E22" s="21" t="inlineStr">
        <is>
          <t>9AE854</t>
        </is>
      </c>
      <c r="F22" s="21" t="inlineStr">
        <is>
          <t>&lt;=1</t>
        </is>
      </c>
      <c r="G22" s="21" t="inlineStr">
        <is>
          <t>&gt;=100</t>
        </is>
      </c>
    </row>
    <row r="23">
      <c r="A23" s="13" t="inlineStr">
        <is>
          <t>jp225:EIDE</t>
        </is>
      </c>
      <c r="B23" s="13" t="inlineStr">
        <is>
          <t>jp225:EIDE</t>
        </is>
      </c>
      <c r="C23" s="21" t="n"/>
      <c r="D23" s="21" t="n"/>
      <c r="E23" s="21" t="n"/>
      <c r="F23" s="21" t="n"/>
      <c r="G23" s="21" t="n"/>
    </row>
    <row r="24">
      <c r="A24" s="13" t="inlineStr">
        <is>
          <t>jp225:RNG60</t>
        </is>
      </c>
      <c r="B24" s="13" t="inlineStr">
        <is>
          <t>jp225:RNG60</t>
        </is>
      </c>
      <c r="C24" s="21" t="n">
        <v>2</v>
      </c>
      <c r="D24" s="21" t="inlineStr">
        <is>
          <t>F8544C</t>
        </is>
      </c>
      <c r="E24" s="21" t="inlineStr">
        <is>
          <t>9AE854</t>
        </is>
      </c>
      <c r="F24" s="21" t="inlineStr">
        <is>
          <t>&lt;=-10</t>
        </is>
      </c>
      <c r="G24" s="21" t="inlineStr">
        <is>
          <t>&gt;=10</t>
        </is>
      </c>
    </row>
    <row r="25">
      <c r="A25" s="13" t="inlineStr">
        <is>
          <t>jp225:RNG120</t>
        </is>
      </c>
      <c r="B25" s="13" t="inlineStr">
        <is>
          <t>jp225:RNG120</t>
        </is>
      </c>
      <c r="C25" s="21" t="n">
        <v>2</v>
      </c>
      <c r="D25" s="21" t="inlineStr">
        <is>
          <t>F8544C</t>
        </is>
      </c>
      <c r="E25" s="21" t="inlineStr">
        <is>
          <t>9AE854</t>
        </is>
      </c>
      <c r="F25" s="21" t="inlineStr">
        <is>
          <t>&lt;=-20</t>
        </is>
      </c>
      <c r="G25" s="21" t="inlineStr">
        <is>
          <t>&gt;=20</t>
        </is>
      </c>
    </row>
    <row r="26">
      <c r="A26" s="18" t="inlineStr">
        <is>
          <t>jp225:MAIN_STOCK</t>
        </is>
      </c>
      <c r="B26" s="18" t="inlineStr">
        <is>
          <t>jp225:MAIN_STOCK</t>
        </is>
      </c>
      <c r="C26" s="19" t="n">
        <v>2</v>
      </c>
      <c r="D26" s="19" t="inlineStr">
        <is>
          <t>9AE854</t>
        </is>
      </c>
      <c r="E26" s="19" t="inlineStr">
        <is>
          <t>F8544C</t>
        </is>
      </c>
      <c r="F26" s="19" t="inlineStr">
        <is>
          <t>&gt;=95</t>
        </is>
      </c>
      <c r="G26" s="19" t="inlineStr">
        <is>
          <t>&lt;=1</t>
        </is>
      </c>
    </row>
    <row r="27">
      <c r="A27" s="20" t="inlineStr">
        <is>
          <t>jp225:ORG_CHIP</t>
        </is>
      </c>
      <c r="B27" s="13" t="inlineStr">
        <is>
          <t>jp225:ORG_CHIP</t>
        </is>
      </c>
      <c r="C27" s="21" t="n">
        <v>2</v>
      </c>
      <c r="D27" s="21" t="inlineStr">
        <is>
          <t>F8544C</t>
        </is>
      </c>
      <c r="E27" s="21" t="inlineStr">
        <is>
          <t>9AE854</t>
        </is>
      </c>
      <c r="F27" s="21" t="inlineStr">
        <is>
          <t>&lt;=1</t>
        </is>
      </c>
      <c r="G27" s="21" t="inlineStr">
        <is>
          <t>&gt;=100</t>
        </is>
      </c>
    </row>
    <row r="28">
      <c r="A28" s="13" t="inlineStr">
        <is>
          <t>vn:EIDE</t>
        </is>
      </c>
      <c r="B28" s="13" t="inlineStr">
        <is>
          <t>vn:EIDE</t>
        </is>
      </c>
      <c r="C28" s="21" t="n"/>
      <c r="D28" s="21" t="n"/>
      <c r="E28" s="21" t="n"/>
      <c r="F28" s="21" t="n"/>
      <c r="G28" s="21" t="n"/>
    </row>
    <row r="29">
      <c r="A29" s="13" t="inlineStr">
        <is>
          <t>vn:RNG60</t>
        </is>
      </c>
      <c r="B29" s="13" t="inlineStr">
        <is>
          <t>vn:RNG60</t>
        </is>
      </c>
      <c r="C29" s="21" t="n">
        <v>2</v>
      </c>
      <c r="D29" s="21" t="inlineStr">
        <is>
          <t>F8544C</t>
        </is>
      </c>
      <c r="E29" s="21" t="inlineStr">
        <is>
          <t>9AE854</t>
        </is>
      </c>
      <c r="F29" s="21" t="inlineStr">
        <is>
          <t>&lt;=-10</t>
        </is>
      </c>
      <c r="G29" s="21" t="inlineStr">
        <is>
          <t>&gt;=10</t>
        </is>
      </c>
    </row>
    <row r="30">
      <c r="A30" s="13" t="inlineStr">
        <is>
          <t>vn:RNG120</t>
        </is>
      </c>
      <c r="B30" s="13" t="inlineStr">
        <is>
          <t>vn:RNG120</t>
        </is>
      </c>
      <c r="C30" s="21" t="n">
        <v>2</v>
      </c>
      <c r="D30" s="21" t="inlineStr">
        <is>
          <t>F8544C</t>
        </is>
      </c>
      <c r="E30" s="21" t="inlineStr">
        <is>
          <t>9AE854</t>
        </is>
      </c>
      <c r="F30" s="21" t="inlineStr">
        <is>
          <t>&lt;=-20</t>
        </is>
      </c>
      <c r="G30" s="21" t="inlineStr">
        <is>
          <t>&gt;=20</t>
        </is>
      </c>
    </row>
    <row r="31">
      <c r="A31" s="18" t="inlineStr">
        <is>
          <t>vn:MAIN_STOCK</t>
        </is>
      </c>
      <c r="B31" s="18" t="inlineStr">
        <is>
          <t>vn:MAIN_STOCK</t>
        </is>
      </c>
      <c r="C31" s="19" t="n">
        <v>2</v>
      </c>
      <c r="D31" s="19" t="inlineStr">
        <is>
          <t>9AE854</t>
        </is>
      </c>
      <c r="E31" s="19" t="inlineStr">
        <is>
          <t>F8544C</t>
        </is>
      </c>
      <c r="F31" s="19" t="inlineStr">
        <is>
          <t>&gt;=95</t>
        </is>
      </c>
      <c r="G31" s="19" t="inlineStr">
        <is>
          <t>&lt;=1</t>
        </is>
      </c>
    </row>
    <row r="32">
      <c r="A32" s="20" t="inlineStr">
        <is>
          <t>vn:ORG_CHIP</t>
        </is>
      </c>
      <c r="B32" s="13" t="inlineStr">
        <is>
          <t>vn:ORG_CHIP</t>
        </is>
      </c>
      <c r="C32" s="21" t="n">
        <v>2</v>
      </c>
      <c r="D32" s="21" t="inlineStr">
        <is>
          <t>F8544C</t>
        </is>
      </c>
      <c r="E32" s="21" t="inlineStr">
        <is>
          <t>9AE854</t>
        </is>
      </c>
      <c r="F32" s="21" t="inlineStr">
        <is>
          <t>&lt;=1</t>
        </is>
      </c>
      <c r="G32" s="21" t="inlineStr">
        <is>
          <t>&gt;=100</t>
        </is>
      </c>
    </row>
    <row r="33">
      <c r="A33" s="13" t="inlineStr">
        <is>
          <t>sensex:EIDE</t>
        </is>
      </c>
      <c r="B33" s="13" t="inlineStr">
        <is>
          <t>sensex:EIDE</t>
        </is>
      </c>
      <c r="C33" s="21" t="n"/>
      <c r="D33" s="21" t="n"/>
      <c r="E33" s="21" t="n"/>
      <c r="F33" s="21" t="n"/>
      <c r="G33" s="21" t="n"/>
    </row>
    <row r="34">
      <c r="A34" s="13" t="inlineStr">
        <is>
          <t>sensex:RNG60</t>
        </is>
      </c>
      <c r="B34" s="13" t="inlineStr">
        <is>
          <t>sensex:RNG60</t>
        </is>
      </c>
      <c r="C34" s="21" t="n">
        <v>2</v>
      </c>
      <c r="D34" s="21" t="inlineStr">
        <is>
          <t>F8544C</t>
        </is>
      </c>
      <c r="E34" s="21" t="inlineStr">
        <is>
          <t>9AE854</t>
        </is>
      </c>
      <c r="F34" s="21" t="inlineStr">
        <is>
          <t>&lt;=-10</t>
        </is>
      </c>
      <c r="G34" s="21" t="inlineStr">
        <is>
          <t>&gt;=10</t>
        </is>
      </c>
    </row>
    <row r="35">
      <c r="A35" s="13" t="inlineStr">
        <is>
          <t>sensex:RNG120</t>
        </is>
      </c>
      <c r="B35" s="13" t="inlineStr">
        <is>
          <t>sensex:RNG120</t>
        </is>
      </c>
      <c r="C35" s="21" t="n">
        <v>2</v>
      </c>
      <c r="D35" s="21" t="inlineStr">
        <is>
          <t>F8544C</t>
        </is>
      </c>
      <c r="E35" s="21" t="inlineStr">
        <is>
          <t>9AE854</t>
        </is>
      </c>
      <c r="F35" s="21" t="inlineStr">
        <is>
          <t>&lt;=-20</t>
        </is>
      </c>
      <c r="G35" s="21" t="inlineStr">
        <is>
          <t>&gt;=20</t>
        </is>
      </c>
    </row>
    <row r="36">
      <c r="A36" s="18" t="inlineStr">
        <is>
          <t>sensex:MAIN_STOCK</t>
        </is>
      </c>
      <c r="B36" s="18" t="inlineStr">
        <is>
          <t>sensex:MAIN_STOCK</t>
        </is>
      </c>
      <c r="C36" s="19" t="n">
        <v>2</v>
      </c>
      <c r="D36" s="19" t="inlineStr">
        <is>
          <t>9AE854</t>
        </is>
      </c>
      <c r="E36" s="19" t="inlineStr">
        <is>
          <t>F8544C</t>
        </is>
      </c>
      <c r="F36" s="19" t="inlineStr">
        <is>
          <t>&gt;=95</t>
        </is>
      </c>
      <c r="G36" s="19" t="inlineStr">
        <is>
          <t>&lt;=1</t>
        </is>
      </c>
    </row>
    <row r="37">
      <c r="A37" s="20" t="inlineStr">
        <is>
          <t>sensex:ORG_CHIP</t>
        </is>
      </c>
      <c r="B37" s="13" t="inlineStr">
        <is>
          <t>sensex:ORG_CHIP</t>
        </is>
      </c>
      <c r="C37" s="21" t="n">
        <v>2</v>
      </c>
      <c r="D37" s="21" t="inlineStr">
        <is>
          <t>F8544C</t>
        </is>
      </c>
      <c r="E37" s="21" t="inlineStr">
        <is>
          <t>9AE854</t>
        </is>
      </c>
      <c r="F37" s="21" t="inlineStr">
        <is>
          <t>&lt;=1</t>
        </is>
      </c>
      <c r="G37" s="21" t="inlineStr">
        <is>
          <t>&gt;=100</t>
        </is>
      </c>
    </row>
    <row r="38">
      <c r="A38" s="13" t="inlineStr">
        <is>
          <t>fr40:EIDE</t>
        </is>
      </c>
      <c r="B38" s="13" t="inlineStr">
        <is>
          <t>fr40:EIDE</t>
        </is>
      </c>
      <c r="C38" s="21" t="n"/>
      <c r="D38" s="21" t="n"/>
      <c r="E38" s="21" t="n"/>
      <c r="F38" s="21" t="n"/>
      <c r="G38" s="21" t="n"/>
    </row>
    <row r="39">
      <c r="A39" s="13" t="inlineStr">
        <is>
          <t>fr40:RNG60</t>
        </is>
      </c>
      <c r="B39" s="13" t="inlineStr">
        <is>
          <t>fr40:RNG60</t>
        </is>
      </c>
      <c r="C39" s="21" t="n">
        <v>2</v>
      </c>
      <c r="D39" s="21" t="inlineStr">
        <is>
          <t>F8544C</t>
        </is>
      </c>
      <c r="E39" s="21" t="inlineStr">
        <is>
          <t>9AE854</t>
        </is>
      </c>
      <c r="F39" s="21" t="inlineStr">
        <is>
          <t>&lt;=-10</t>
        </is>
      </c>
      <c r="G39" s="21" t="inlineStr">
        <is>
          <t>&gt;=10</t>
        </is>
      </c>
    </row>
    <row r="40">
      <c r="A40" s="13" t="inlineStr">
        <is>
          <t>fr40:RNG120</t>
        </is>
      </c>
      <c r="B40" s="13" t="inlineStr">
        <is>
          <t>fr40:RNG120</t>
        </is>
      </c>
      <c r="C40" s="21" t="n">
        <v>2</v>
      </c>
      <c r="D40" s="21" t="inlineStr">
        <is>
          <t>F8544C</t>
        </is>
      </c>
      <c r="E40" s="21" t="inlineStr">
        <is>
          <t>9AE854</t>
        </is>
      </c>
      <c r="F40" s="21" t="inlineStr">
        <is>
          <t>&lt;=-20</t>
        </is>
      </c>
      <c r="G40" s="21" t="inlineStr">
        <is>
          <t>&gt;=20</t>
        </is>
      </c>
    </row>
    <row r="41">
      <c r="A41" s="18" t="inlineStr">
        <is>
          <t>fr40:MAIN_STOCK</t>
        </is>
      </c>
      <c r="B41" s="18" t="inlineStr">
        <is>
          <t>fr40:MAIN_STOCK</t>
        </is>
      </c>
      <c r="C41" s="19" t="n">
        <v>2</v>
      </c>
      <c r="D41" s="19" t="inlineStr">
        <is>
          <t>9AE854</t>
        </is>
      </c>
      <c r="E41" s="19" t="inlineStr">
        <is>
          <t>F8544C</t>
        </is>
      </c>
      <c r="F41" s="19" t="inlineStr">
        <is>
          <t>&gt;=95</t>
        </is>
      </c>
      <c r="G41" s="19" t="inlineStr">
        <is>
          <t>&lt;=1</t>
        </is>
      </c>
    </row>
    <row r="42">
      <c r="A42" s="20" t="inlineStr">
        <is>
          <t>fr40:ORG_CHIP</t>
        </is>
      </c>
      <c r="B42" s="13" t="inlineStr">
        <is>
          <t>fr40:ORG_CHIP</t>
        </is>
      </c>
      <c r="C42" s="21" t="n">
        <v>2</v>
      </c>
      <c r="D42" s="21" t="inlineStr">
        <is>
          <t>F8544C</t>
        </is>
      </c>
      <c r="E42" s="21" t="inlineStr">
        <is>
          <t>9AE854</t>
        </is>
      </c>
      <c r="F42" s="21" t="inlineStr">
        <is>
          <t>&lt;=1</t>
        </is>
      </c>
      <c r="G42" s="21" t="inlineStr">
        <is>
          <t>&gt;=100</t>
        </is>
      </c>
    </row>
    <row r="43">
      <c r="A43" s="13" t="inlineStr">
        <is>
          <t>dax30:EIDE</t>
        </is>
      </c>
      <c r="B43" s="13" t="inlineStr">
        <is>
          <t>dax30:EIDE</t>
        </is>
      </c>
      <c r="C43" s="21" t="n"/>
      <c r="D43" s="21" t="n"/>
      <c r="E43" s="21" t="n"/>
      <c r="F43" s="21" t="n"/>
      <c r="G43" s="21" t="n"/>
    </row>
    <row r="44">
      <c r="A44" s="13" t="inlineStr">
        <is>
          <t>dax30:RNG60</t>
        </is>
      </c>
      <c r="B44" s="13" t="inlineStr">
        <is>
          <t>dax30:RNG60</t>
        </is>
      </c>
      <c r="C44" s="21" t="n">
        <v>2</v>
      </c>
      <c r="D44" s="21" t="inlineStr">
        <is>
          <t>F8544C</t>
        </is>
      </c>
      <c r="E44" s="21" t="inlineStr">
        <is>
          <t>9AE854</t>
        </is>
      </c>
      <c r="F44" s="21" t="inlineStr">
        <is>
          <t>&lt;=-10</t>
        </is>
      </c>
      <c r="G44" s="21" t="inlineStr">
        <is>
          <t>&gt;=10</t>
        </is>
      </c>
    </row>
    <row r="45">
      <c r="A45" s="13" t="inlineStr">
        <is>
          <t>dax30:RNG120</t>
        </is>
      </c>
      <c r="B45" s="13" t="inlineStr">
        <is>
          <t>dax30:RNG120</t>
        </is>
      </c>
      <c r="C45" s="21" t="n">
        <v>2</v>
      </c>
      <c r="D45" s="21" t="inlineStr">
        <is>
          <t>F8544C</t>
        </is>
      </c>
      <c r="E45" s="21" t="inlineStr">
        <is>
          <t>9AE854</t>
        </is>
      </c>
      <c r="F45" s="21" t="inlineStr">
        <is>
          <t>&lt;=-20</t>
        </is>
      </c>
      <c r="G45" s="21" t="inlineStr">
        <is>
          <t>&gt;=20</t>
        </is>
      </c>
    </row>
    <row r="46">
      <c r="A46" s="18" t="inlineStr">
        <is>
          <t>dax30:MAIN_STOCK</t>
        </is>
      </c>
      <c r="B46" s="18" t="inlineStr">
        <is>
          <t>dax30:MAIN_STOCK</t>
        </is>
      </c>
      <c r="C46" s="19" t="n">
        <v>2</v>
      </c>
      <c r="D46" s="19" t="inlineStr">
        <is>
          <t>9AE854</t>
        </is>
      </c>
      <c r="E46" s="19" t="inlineStr">
        <is>
          <t>F8544C</t>
        </is>
      </c>
      <c r="F46" s="19" t="inlineStr">
        <is>
          <t>&gt;=95</t>
        </is>
      </c>
      <c r="G46" s="19" t="inlineStr">
        <is>
          <t>&lt;=1</t>
        </is>
      </c>
    </row>
    <row r="47">
      <c r="A47" s="20" t="inlineStr">
        <is>
          <t>dax30:ORG_CHIP</t>
        </is>
      </c>
      <c r="B47" s="13" t="inlineStr">
        <is>
          <t>dax30:ORG_CHIP</t>
        </is>
      </c>
      <c r="C47" s="21" t="n">
        <v>2</v>
      </c>
      <c r="D47" s="21" t="inlineStr">
        <is>
          <t>F8544C</t>
        </is>
      </c>
      <c r="E47" s="21" t="inlineStr">
        <is>
          <t>9AE854</t>
        </is>
      </c>
      <c r="F47" s="21" t="inlineStr">
        <is>
          <t>&lt;=1</t>
        </is>
      </c>
      <c r="G47" s="21" t="inlineStr">
        <is>
          <t>&gt;=100</t>
        </is>
      </c>
    </row>
    <row r="48">
      <c r="A48" s="13" t="inlineStr">
        <is>
          <t>gb100:EIDE</t>
        </is>
      </c>
      <c r="B48" s="13" t="inlineStr">
        <is>
          <t>gb100:EIDE</t>
        </is>
      </c>
      <c r="C48" s="21" t="n"/>
      <c r="D48" s="21" t="n"/>
      <c r="E48" s="21" t="n"/>
      <c r="F48" s="21" t="n"/>
      <c r="G48" s="21" t="n"/>
    </row>
    <row r="49">
      <c r="A49" s="13" t="inlineStr">
        <is>
          <t>gb100:RNG60</t>
        </is>
      </c>
      <c r="B49" s="13" t="inlineStr">
        <is>
          <t>gb100:RNG60</t>
        </is>
      </c>
      <c r="C49" s="21" t="n">
        <v>2</v>
      </c>
      <c r="D49" s="21" t="inlineStr">
        <is>
          <t>F8544C</t>
        </is>
      </c>
      <c r="E49" s="21" t="inlineStr">
        <is>
          <t>9AE854</t>
        </is>
      </c>
      <c r="F49" s="21" t="inlineStr">
        <is>
          <t>&lt;=-10</t>
        </is>
      </c>
      <c r="G49" s="21" t="inlineStr">
        <is>
          <t>&gt;=10</t>
        </is>
      </c>
    </row>
    <row r="50">
      <c r="A50" s="13" t="inlineStr">
        <is>
          <t>gb100:RNG120</t>
        </is>
      </c>
      <c r="B50" s="13" t="inlineStr">
        <is>
          <t>gb100:RNG120</t>
        </is>
      </c>
      <c r="C50" s="21" t="n">
        <v>2</v>
      </c>
      <c r="D50" s="21" t="inlineStr">
        <is>
          <t>F8544C</t>
        </is>
      </c>
      <c r="E50" s="21" t="inlineStr">
        <is>
          <t>9AE854</t>
        </is>
      </c>
      <c r="F50" s="21" t="inlineStr">
        <is>
          <t>&lt;=-20</t>
        </is>
      </c>
      <c r="G50" s="21" t="inlineStr">
        <is>
          <t>&gt;=20</t>
        </is>
      </c>
    </row>
    <row r="51">
      <c r="A51" s="18" t="inlineStr">
        <is>
          <t>gb100:MAIN_STOCK</t>
        </is>
      </c>
      <c r="B51" s="18" t="inlineStr">
        <is>
          <t>gb100:MAIN_STOCK</t>
        </is>
      </c>
      <c r="C51" s="19" t="n">
        <v>2</v>
      </c>
      <c r="D51" s="19" t="inlineStr">
        <is>
          <t>9AE854</t>
        </is>
      </c>
      <c r="E51" s="19" t="inlineStr">
        <is>
          <t>F8544C</t>
        </is>
      </c>
      <c r="F51" s="19" t="inlineStr">
        <is>
          <t>&gt;=95</t>
        </is>
      </c>
      <c r="G51" s="19" t="inlineStr">
        <is>
          <t>&lt;=1</t>
        </is>
      </c>
    </row>
    <row r="52">
      <c r="A52" s="20" t="inlineStr">
        <is>
          <t>gb100:ORG_CHIP</t>
        </is>
      </c>
      <c r="B52" s="13" t="inlineStr">
        <is>
          <t>gb100:ORG_CHIP</t>
        </is>
      </c>
      <c r="C52" s="21" t="n">
        <v>2</v>
      </c>
      <c r="D52" s="21" t="inlineStr">
        <is>
          <t>F8544C</t>
        </is>
      </c>
      <c r="E52" s="21" t="inlineStr">
        <is>
          <t>9AE854</t>
        </is>
      </c>
      <c r="F52" s="21" t="inlineStr">
        <is>
          <t>&lt;=1</t>
        </is>
      </c>
      <c r="G52" s="21" t="inlineStr">
        <is>
          <t>&gt;=100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5"/>
  <sheetViews>
    <sheetView topLeftCell="B24" zoomScale="85" zoomScaleNormal="85" workbookViewId="0">
      <selection activeCell="L43" sqref="L43:R47"/>
    </sheetView>
  </sheetViews>
  <sheetFormatPr baseColWidth="8" defaultColWidth="8.888888888888889" defaultRowHeight="14.4"/>
  <cols>
    <col width="18.6666666666667" customWidth="1" style="3" min="1" max="1"/>
    <col width="22" customWidth="1" style="3" min="2" max="2"/>
    <col width="14.1111111111111" customWidth="1" style="4" min="3" max="3"/>
    <col width="47.4444444444444" customWidth="1" style="5" min="4" max="4"/>
    <col width="12.8055555555556" customWidth="1" style="3" min="5" max="5"/>
    <col width="8.888888888888889" customWidth="1" style="1" min="6" max="10"/>
    <col width="11.8888888888889" customWidth="1" style="1" min="11" max="11"/>
    <col width="19.7777777777778" customWidth="1" style="1" min="12" max="12"/>
    <col width="8.888888888888889" customWidth="1" style="1" min="13" max="16"/>
    <col width="13.1111111111111" customWidth="1" style="1" min="17" max="17"/>
    <col width="8.888888888888889" customWidth="1" style="1" min="18" max="16384"/>
  </cols>
  <sheetData>
    <row r="1" customFormat="1" s="1">
      <c r="A1" s="20" t="inlineStr">
        <is>
          <t>col_name</t>
        </is>
      </c>
      <c r="B1" s="20" t="inlineStr">
        <is>
          <t>title_name</t>
        </is>
      </c>
      <c r="C1" s="21" t="inlineStr">
        <is>
          <t>单位或小数位</t>
        </is>
      </c>
      <c r="D1" s="8" t="inlineStr">
        <is>
          <t>备注</t>
        </is>
      </c>
      <c r="E1" s="21" t="inlineStr">
        <is>
          <t>重点</t>
        </is>
      </c>
      <c r="G1" s="21" t="inlineStr">
        <is>
          <t>FF0000</t>
        </is>
      </c>
      <c r="H1" s="21" t="inlineStr">
        <is>
          <t>00FF00</t>
        </is>
      </c>
      <c r="K1" s="16" t="inlineStr">
        <is>
          <t>col_name</t>
        </is>
      </c>
      <c r="L1" s="16" t="inlineStr">
        <is>
          <t>title_name</t>
        </is>
      </c>
      <c r="M1" s="17" t="inlineStr">
        <is>
          <t>unit</t>
        </is>
      </c>
      <c r="N1" s="17" t="inlineStr">
        <is>
          <t>start_color</t>
        </is>
      </c>
      <c r="O1" s="17" t="inlineStr">
        <is>
          <t>end_color</t>
        </is>
      </c>
      <c r="P1" s="17" t="inlineStr">
        <is>
          <t>limit_buy</t>
        </is>
      </c>
      <c r="Q1" s="17" t="inlineStr">
        <is>
          <t>limit_sell</t>
        </is>
      </c>
      <c r="R1" s="1" t="n"/>
    </row>
    <row r="2" customFormat="1" s="1">
      <c r="A2" s="20" t="inlineStr">
        <is>
          <t>date</t>
        </is>
      </c>
      <c r="B2" s="20" t="inlineStr">
        <is>
          <t>日期</t>
        </is>
      </c>
      <c r="C2" s="21" t="n"/>
      <c r="D2" s="9" t="n"/>
      <c r="E2" s="20" t="n"/>
      <c r="G2" s="21" t="inlineStr">
        <is>
          <t>红色</t>
        </is>
      </c>
      <c r="H2" s="21" t="inlineStr">
        <is>
          <t>绿色</t>
        </is>
      </c>
      <c r="K2" s="13" t="inlineStr">
        <is>
          <t>date</t>
        </is>
      </c>
      <c r="L2" s="13" t="inlineStr">
        <is>
          <t>日期</t>
        </is>
      </c>
      <c r="M2" s="21" t="n"/>
      <c r="N2" s="21" t="n"/>
      <c r="O2" s="21" t="n"/>
      <c r="P2" s="21" t="n"/>
      <c r="Q2" s="21" t="n"/>
      <c r="R2" s="1" t="n"/>
    </row>
    <row r="3" customFormat="1" s="1">
      <c r="A3" s="20" t="inlineStr">
        <is>
          <t>IDXC</t>
        </is>
      </c>
      <c r="B3" s="20" t="inlineStr">
        <is>
          <t>收盘</t>
        </is>
      </c>
      <c r="C3" s="21" t="n">
        <v>2</v>
      </c>
      <c r="D3" s="9" t="n"/>
      <c r="E3" s="20" t="n"/>
      <c r="K3" s="13" t="inlineStr">
        <is>
          <t>EIDE</t>
        </is>
      </c>
      <c r="L3" s="13">
        <f>R3&amp;":"&amp;K3</f>
        <v/>
      </c>
      <c r="M3" s="21" t="n"/>
      <c r="N3" s="21" t="n"/>
      <c r="O3" s="21" t="n"/>
      <c r="P3" s="21" t="n"/>
      <c r="Q3" s="21" t="n"/>
      <c r="R3" s="1" t="inlineStr">
        <is>
          <t>hk50</t>
        </is>
      </c>
    </row>
    <row r="4" customFormat="1" s="1">
      <c r="A4" s="20" t="inlineStr">
        <is>
          <t>EIDE</t>
        </is>
      </c>
      <c r="B4" s="20" t="inlineStr">
        <is>
          <t>埃尔德</t>
        </is>
      </c>
      <c r="C4" s="21" t="n"/>
      <c r="D4" s="9" t="n"/>
      <c r="E4" s="20" t="n"/>
      <c r="G4" s="21" t="inlineStr">
        <is>
          <t>F8544C</t>
        </is>
      </c>
      <c r="H4" s="20" t="inlineStr">
        <is>
          <t>9AE854</t>
        </is>
      </c>
      <c r="K4" s="13" t="inlineStr">
        <is>
          <t>RNG60</t>
        </is>
      </c>
      <c r="L4" s="13">
        <f>R4&amp;":"&amp;K4</f>
        <v/>
      </c>
      <c r="M4" s="21" t="n">
        <v>2</v>
      </c>
      <c r="N4" s="21" t="inlineStr">
        <is>
          <t>F8544C</t>
        </is>
      </c>
      <c r="O4" s="21" t="inlineStr">
        <is>
          <t>9AE854</t>
        </is>
      </c>
      <c r="P4" s="21" t="inlineStr">
        <is>
          <t>&lt;=-10</t>
        </is>
      </c>
      <c r="Q4" s="21" t="inlineStr">
        <is>
          <t>&gt;=10</t>
        </is>
      </c>
      <c r="R4" s="1" t="inlineStr">
        <is>
          <t>hk50</t>
        </is>
      </c>
    </row>
    <row r="5" customFormat="1" s="1">
      <c r="A5" s="20" t="inlineStr">
        <is>
          <t>RNG</t>
        </is>
      </c>
      <c r="B5" s="20" t="inlineStr">
        <is>
          <t>涨跌幅</t>
        </is>
      </c>
      <c r="C5" s="21" t="n">
        <v>2</v>
      </c>
      <c r="D5" s="9" t="n"/>
      <c r="E5" s="20" t="n"/>
      <c r="G5" s="10" t="n"/>
      <c r="H5" s="11" t="n"/>
      <c r="K5" s="13" t="inlineStr">
        <is>
          <t>RNG120</t>
        </is>
      </c>
      <c r="L5" s="13">
        <f>R5&amp;":"&amp;K5</f>
        <v/>
      </c>
      <c r="M5" s="21" t="n">
        <v>2</v>
      </c>
      <c r="N5" s="21" t="inlineStr">
        <is>
          <t>F8544C</t>
        </is>
      </c>
      <c r="O5" s="21" t="inlineStr">
        <is>
          <t>9AE854</t>
        </is>
      </c>
      <c r="P5" s="21" t="inlineStr">
        <is>
          <t>&lt;=-20</t>
        </is>
      </c>
      <c r="Q5" s="21" t="inlineStr">
        <is>
          <t>&gt;=20</t>
        </is>
      </c>
      <c r="R5" s="1" t="inlineStr">
        <is>
          <t>hk50</t>
        </is>
      </c>
    </row>
    <row r="6" customFormat="1" s="1">
      <c r="A6" s="20" t="inlineStr">
        <is>
          <t>RNG60</t>
        </is>
      </c>
      <c r="B6" s="20" t="inlineStr">
        <is>
          <t>60日涨跌幅</t>
        </is>
      </c>
      <c r="C6" s="21" t="n">
        <v>2</v>
      </c>
      <c r="D6" s="9" t="n"/>
      <c r="E6" s="20" t="n"/>
      <c r="K6" s="18" t="inlineStr">
        <is>
          <t>MAIN_STOCK</t>
        </is>
      </c>
      <c r="L6" s="18">
        <f>R6&amp;":"&amp;K6</f>
        <v/>
      </c>
      <c r="M6" s="19" t="n">
        <v>2</v>
      </c>
      <c r="N6" s="19" t="inlineStr">
        <is>
          <t>9AE854</t>
        </is>
      </c>
      <c r="O6" s="19" t="inlineStr">
        <is>
          <t>F8544C</t>
        </is>
      </c>
      <c r="P6" s="19" t="inlineStr">
        <is>
          <t>&gt;=95</t>
        </is>
      </c>
      <c r="Q6" s="19" t="inlineStr">
        <is>
          <t>&lt;=1</t>
        </is>
      </c>
      <c r="R6" s="1" t="inlineStr">
        <is>
          <t>hk50</t>
        </is>
      </c>
    </row>
    <row r="7" customFormat="1" s="1">
      <c r="A7" s="20" t="inlineStr">
        <is>
          <t>RNG120</t>
        </is>
      </c>
      <c r="B7" s="20" t="inlineStr">
        <is>
          <t>120日涨跌幅</t>
        </is>
      </c>
      <c r="C7" s="21" t="n">
        <v>2</v>
      </c>
      <c r="D7" s="9" t="n"/>
      <c r="E7" s="20" t="n"/>
      <c r="K7" s="20" t="inlineStr">
        <is>
          <t>ORG_CHIP</t>
        </is>
      </c>
      <c r="L7" s="13">
        <f>R7&amp;":"&amp;K7</f>
        <v/>
      </c>
      <c r="M7" s="21" t="n">
        <v>2</v>
      </c>
      <c r="N7" s="21" t="inlineStr">
        <is>
          <t>F8544C</t>
        </is>
      </c>
      <c r="O7" s="21" t="inlineStr">
        <is>
          <t>9AE854</t>
        </is>
      </c>
      <c r="P7" s="21" t="inlineStr">
        <is>
          <t>&lt;=1</t>
        </is>
      </c>
      <c r="Q7" s="21" t="inlineStr">
        <is>
          <t>&gt;=100</t>
        </is>
      </c>
      <c r="R7" s="1" t="inlineStr">
        <is>
          <t>hk50</t>
        </is>
      </c>
    </row>
    <row r="8" customFormat="1" s="1">
      <c r="A8" s="20" t="inlineStr">
        <is>
          <t>cir_values</t>
        </is>
      </c>
      <c r="B8" s="20" t="inlineStr">
        <is>
          <t>流通市值(万亿)</t>
        </is>
      </c>
      <c r="C8" s="21" t="n">
        <v>2</v>
      </c>
      <c r="D8" s="9" t="n"/>
      <c r="E8" s="20" t="n"/>
      <c r="K8" s="13" t="inlineStr">
        <is>
          <t>EIDE</t>
        </is>
      </c>
      <c r="L8" s="13">
        <f>R8&amp;":"&amp;K8</f>
        <v/>
      </c>
      <c r="M8" s="21" t="n"/>
      <c r="N8" s="21" t="n"/>
      <c r="O8" s="21" t="n"/>
      <c r="P8" s="21" t="n"/>
      <c r="Q8" s="21" t="n"/>
      <c r="R8" s="1" t="inlineStr">
        <is>
          <t>us500</t>
        </is>
      </c>
    </row>
    <row r="9" customFormat="1" s="1">
      <c r="A9" s="20" t="inlineStr">
        <is>
          <t>cir_cnts</t>
        </is>
      </c>
      <c r="B9" s="20" t="inlineStr">
        <is>
          <t>流通数</t>
        </is>
      </c>
      <c r="C9" s="21" t="n">
        <v>0</v>
      </c>
      <c r="D9" s="9" t="n"/>
      <c r="E9" s="20" t="n"/>
      <c r="K9" s="13" t="inlineStr">
        <is>
          <t>RNG60</t>
        </is>
      </c>
      <c r="L9" s="13">
        <f>R9&amp;":"&amp;K9</f>
        <v/>
      </c>
      <c r="M9" s="21">
        <f>M4</f>
        <v/>
      </c>
      <c r="N9" s="21">
        <f>N4</f>
        <v/>
      </c>
      <c r="O9" s="21">
        <f>O4</f>
        <v/>
      </c>
      <c r="P9" s="21">
        <f>P4</f>
        <v/>
      </c>
      <c r="Q9" s="21">
        <f>Q4</f>
        <v/>
      </c>
      <c r="R9" s="1" t="inlineStr">
        <is>
          <t>us500</t>
        </is>
      </c>
    </row>
    <row r="10" customFormat="1" s="1">
      <c r="A10" s="20" t="inlineStr">
        <is>
          <t>amounts</t>
        </is>
      </c>
      <c r="B10" s="20" t="inlineStr">
        <is>
          <t>成交额(亿元)</t>
        </is>
      </c>
      <c r="C10" s="21" t="n">
        <v>2</v>
      </c>
      <c r="D10" s="9" t="n"/>
      <c r="E10" s="20" t="n"/>
      <c r="K10" s="13" t="inlineStr">
        <is>
          <t>RNG120</t>
        </is>
      </c>
      <c r="L10" s="13">
        <f>R10&amp;":"&amp;K10</f>
        <v/>
      </c>
      <c r="M10" s="21">
        <f>M5</f>
        <v/>
      </c>
      <c r="N10" s="21">
        <f>N5</f>
        <v/>
      </c>
      <c r="O10" s="21">
        <f>O5</f>
        <v/>
      </c>
      <c r="P10" s="21">
        <f>P5</f>
        <v/>
      </c>
      <c r="Q10" s="21">
        <f>Q5</f>
        <v/>
      </c>
      <c r="R10" s="1" t="inlineStr">
        <is>
          <t>us500</t>
        </is>
      </c>
    </row>
    <row r="11" customFormat="1" s="1">
      <c r="A11" s="20" t="inlineStr">
        <is>
          <t>vols</t>
        </is>
      </c>
      <c r="B11" s="20" t="inlineStr">
        <is>
          <t>成交量(万)</t>
        </is>
      </c>
      <c r="C11" s="21" t="n">
        <v>2</v>
      </c>
      <c r="D11" s="9" t="n"/>
      <c r="E11" s="20" t="n"/>
      <c r="K11" s="18" t="inlineStr">
        <is>
          <t>MAIN_STOCK</t>
        </is>
      </c>
      <c r="L11" s="18">
        <f>R11&amp;":"&amp;K11</f>
        <v/>
      </c>
      <c r="M11" s="19">
        <f>M6</f>
        <v/>
      </c>
      <c r="N11" s="19">
        <f>N6</f>
        <v/>
      </c>
      <c r="O11" s="19">
        <f>O6</f>
        <v/>
      </c>
      <c r="P11" s="19">
        <f>P6</f>
        <v/>
      </c>
      <c r="Q11" s="19">
        <f>Q6</f>
        <v/>
      </c>
      <c r="R11" s="1" t="inlineStr">
        <is>
          <t>us500</t>
        </is>
      </c>
    </row>
    <row r="12" customFormat="1" s="1">
      <c r="A12" s="20" t="inlineStr">
        <is>
          <t>cnt</t>
        </is>
      </c>
      <c r="B12" s="20" t="inlineStr">
        <is>
          <t>下影线数</t>
        </is>
      </c>
      <c r="C12" s="21" t="n">
        <v>0</v>
      </c>
      <c r="D12" s="9" t="inlineStr">
        <is>
          <t>越大越好（加仓）</t>
        </is>
      </c>
      <c r="E12" s="20" t="n"/>
      <c r="K12" s="20" t="inlineStr">
        <is>
          <t>ORG_CHIP</t>
        </is>
      </c>
      <c r="L12" s="13">
        <f>R12&amp;":"&amp;K12</f>
        <v/>
      </c>
      <c r="M12" s="21">
        <f>M7</f>
        <v/>
      </c>
      <c r="N12" s="21">
        <f>N7</f>
        <v/>
      </c>
      <c r="O12" s="21">
        <f>O7</f>
        <v/>
      </c>
      <c r="P12" s="21">
        <f>P7</f>
        <v/>
      </c>
      <c r="Q12" s="21">
        <f>Q7</f>
        <v/>
      </c>
      <c r="R12" s="1" t="inlineStr">
        <is>
          <t>us500</t>
        </is>
      </c>
    </row>
    <row r="13" ht="15" customFormat="1" customHeight="1" s="2">
      <c r="A13" s="20" t="inlineStr">
        <is>
          <t>main</t>
        </is>
      </c>
      <c r="B13" s="20" t="inlineStr">
        <is>
          <t>主力进场数</t>
        </is>
      </c>
      <c r="C13" s="21" t="n">
        <v>0</v>
      </c>
      <c r="D13" s="12" t="n"/>
      <c r="E13" s="13" t="n"/>
      <c r="K13" s="13" t="inlineStr">
        <is>
          <t>EIDE</t>
        </is>
      </c>
      <c r="L13" s="13">
        <f>R13&amp;":"&amp;K13</f>
        <v/>
      </c>
      <c r="M13" s="21" t="n"/>
      <c r="N13" s="21" t="n"/>
      <c r="O13" s="21" t="n"/>
      <c r="P13" s="21" t="n"/>
      <c r="Q13" s="21" t="n"/>
      <c r="R13" s="1" t="inlineStr">
        <is>
          <t>us30</t>
        </is>
      </c>
    </row>
    <row r="14" customFormat="1" s="1">
      <c r="A14" s="20" t="inlineStr">
        <is>
          <t>MAIN_STOCK</t>
        </is>
      </c>
      <c r="B14" s="20" t="inlineStr">
        <is>
          <t>主力仓位</t>
        </is>
      </c>
      <c r="C14" s="21" t="n">
        <v>2</v>
      </c>
      <c r="D14" s="9" t="n"/>
      <c r="E14" s="20" t="n"/>
      <c r="K14" s="13" t="inlineStr">
        <is>
          <t>RNG60</t>
        </is>
      </c>
      <c r="L14" s="13">
        <f>R14&amp;":"&amp;K14</f>
        <v/>
      </c>
      <c r="M14" s="21">
        <f>M9</f>
        <v/>
      </c>
      <c r="N14" s="21">
        <f>N9</f>
        <v/>
      </c>
      <c r="O14" s="21">
        <f>O9</f>
        <v/>
      </c>
      <c r="P14" s="21">
        <f>P9</f>
        <v/>
      </c>
      <c r="Q14" s="21">
        <f>Q9</f>
        <v/>
      </c>
      <c r="R14" s="1" t="inlineStr">
        <is>
          <t>us30</t>
        </is>
      </c>
    </row>
    <row r="15" customFormat="1" s="1">
      <c r="A15" s="20" t="inlineStr">
        <is>
          <t>MAIN_IN</t>
        </is>
      </c>
      <c r="B15" s="20" t="inlineStr">
        <is>
          <t>主力进场</t>
        </is>
      </c>
      <c r="C15" s="21" t="n">
        <v>2</v>
      </c>
      <c r="D15" s="9" t="n"/>
      <c r="E15" s="20" t="n"/>
      <c r="K15" s="13" t="inlineStr">
        <is>
          <t>RNG120</t>
        </is>
      </c>
      <c r="L15" s="13">
        <f>R15&amp;":"&amp;K15</f>
        <v/>
      </c>
      <c r="M15" s="21">
        <f>M10</f>
        <v/>
      </c>
      <c r="N15" s="21">
        <f>N10</f>
        <v/>
      </c>
      <c r="O15" s="21">
        <f>O10</f>
        <v/>
      </c>
      <c r="P15" s="21">
        <f>P10</f>
        <v/>
      </c>
      <c r="Q15" s="21">
        <f>Q10</f>
        <v/>
      </c>
      <c r="R15" s="1" t="inlineStr">
        <is>
          <t>us30</t>
        </is>
      </c>
    </row>
    <row r="16" customFormat="1" s="1">
      <c r="A16" s="20" t="inlineStr">
        <is>
          <t>MAIN_WASH</t>
        </is>
      </c>
      <c r="B16" s="20" t="inlineStr">
        <is>
          <t>主力清洗</t>
        </is>
      </c>
      <c r="C16" s="21" t="n">
        <v>2</v>
      </c>
      <c r="D16" s="9" t="n"/>
      <c r="E16" s="20" t="n"/>
      <c r="K16" s="18" t="inlineStr">
        <is>
          <t>MAIN_STOCK</t>
        </is>
      </c>
      <c r="L16" s="18">
        <f>R16&amp;":"&amp;K16</f>
        <v/>
      </c>
      <c r="M16" s="19">
        <f>M11</f>
        <v/>
      </c>
      <c r="N16" s="19">
        <f>N11</f>
        <v/>
      </c>
      <c r="O16" s="19">
        <f>O11</f>
        <v/>
      </c>
      <c r="P16" s="19">
        <f>P11</f>
        <v/>
      </c>
      <c r="Q16" s="19">
        <f>Q11</f>
        <v/>
      </c>
      <c r="R16" s="1" t="inlineStr">
        <is>
          <t>us30</t>
        </is>
      </c>
    </row>
    <row r="17" customFormat="1" s="1">
      <c r="A17" s="20" t="inlineStr">
        <is>
          <t>winner_x</t>
        </is>
      </c>
      <c r="B17" s="20" t="inlineStr">
        <is>
          <t>获利比(加权)</t>
        </is>
      </c>
      <c r="C17" s="21" t="inlineStr">
        <is>
          <t>%</t>
        </is>
      </c>
      <c r="D17" s="9" t="inlineStr">
        <is>
          <t>越小越好（加仓）</t>
        </is>
      </c>
      <c r="E17" s="20" t="n"/>
      <c r="K17" s="20" t="inlineStr">
        <is>
          <t>ORG_CHIP</t>
        </is>
      </c>
      <c r="L17" s="13">
        <f>R17&amp;":"&amp;K17</f>
        <v/>
      </c>
      <c r="M17" s="21">
        <f>M12</f>
        <v/>
      </c>
      <c r="N17" s="21">
        <f>N12</f>
        <v/>
      </c>
      <c r="O17" s="21">
        <f>O12</f>
        <v/>
      </c>
      <c r="P17" s="21">
        <f>P12</f>
        <v/>
      </c>
      <c r="Q17" s="21">
        <f>Q12</f>
        <v/>
      </c>
      <c r="R17" s="1" t="inlineStr">
        <is>
          <t>us30</t>
        </is>
      </c>
    </row>
    <row r="18" customFormat="1" s="1">
      <c r="A18" s="20" t="inlineStr">
        <is>
          <t>winPeak_x</t>
        </is>
      </c>
      <c r="B18" s="20" t="inlineStr">
        <is>
          <t>筹码峰获利比(加权)</t>
        </is>
      </c>
      <c r="C18" s="21" t="inlineStr">
        <is>
          <t>%</t>
        </is>
      </c>
      <c r="D18" s="9" t="inlineStr">
        <is>
          <t>收盘价较筹码峰涨跌(加权)</t>
        </is>
      </c>
      <c r="E18" s="20" t="n"/>
      <c r="K18" s="13" t="inlineStr">
        <is>
          <t>EIDE</t>
        </is>
      </c>
      <c r="L18" s="13">
        <f>R18&amp;":"&amp;K18</f>
        <v/>
      </c>
      <c r="M18" s="21" t="n"/>
      <c r="N18" s="21" t="n"/>
      <c r="O18" s="21" t="n"/>
      <c r="P18" s="21" t="n"/>
      <c r="Q18" s="21" t="n"/>
      <c r="R18" s="1" t="inlineStr">
        <is>
          <t>nq100</t>
        </is>
      </c>
    </row>
    <row r="19" customFormat="1" s="1">
      <c r="A19" s="13" t="inlineStr">
        <is>
          <t>peakRng</t>
        </is>
      </c>
      <c r="B19" s="13" t="inlineStr">
        <is>
          <t>筹码峰日涨跌(加权)</t>
        </is>
      </c>
      <c r="C19" s="21" t="inlineStr">
        <is>
          <t>%</t>
        </is>
      </c>
      <c r="D19" s="9" t="n"/>
      <c r="E19" s="20" t="n"/>
      <c r="K19" s="13" t="inlineStr">
        <is>
          <t>RNG60</t>
        </is>
      </c>
      <c r="L19" s="13">
        <f>R19&amp;":"&amp;K19</f>
        <v/>
      </c>
      <c r="M19" s="21">
        <f>M14</f>
        <v/>
      </c>
      <c r="N19" s="21">
        <f>N14</f>
        <v/>
      </c>
      <c r="O19" s="21">
        <f>O14</f>
        <v/>
      </c>
      <c r="P19" s="21">
        <f>P14</f>
        <v/>
      </c>
      <c r="Q19" s="21">
        <f>Q14</f>
        <v/>
      </c>
      <c r="R19" s="1" t="inlineStr">
        <is>
          <t>nq100</t>
        </is>
      </c>
    </row>
    <row r="20" customFormat="1" s="1">
      <c r="A20" s="20" t="inlineStr">
        <is>
          <t>winLow30_x</t>
        </is>
      </c>
      <c r="B20" s="20" t="inlineStr">
        <is>
          <t>底部30%获利比(加权)</t>
        </is>
      </c>
      <c r="C20" s="21" t="inlineStr">
        <is>
          <t>%</t>
        </is>
      </c>
      <c r="D20" s="9" t="n"/>
      <c r="E20" s="20" t="n"/>
      <c r="K20" s="13" t="inlineStr">
        <is>
          <t>RNG120</t>
        </is>
      </c>
      <c r="L20" s="13">
        <f>R20&amp;":"&amp;K20</f>
        <v/>
      </c>
      <c r="M20" s="21">
        <f>M15</f>
        <v/>
      </c>
      <c r="N20" s="21">
        <f>N15</f>
        <v/>
      </c>
      <c r="O20" s="21">
        <f>O15</f>
        <v/>
      </c>
      <c r="P20" s="21">
        <f>P15</f>
        <v/>
      </c>
      <c r="Q20" s="21">
        <f>Q15</f>
        <v/>
      </c>
      <c r="R20" s="1" t="inlineStr">
        <is>
          <t>nq100</t>
        </is>
      </c>
    </row>
    <row r="21" customFormat="1" s="1">
      <c r="A21" s="20" t="inlineStr">
        <is>
          <t>winHigh30_x</t>
        </is>
      </c>
      <c r="B21" s="20" t="inlineStr">
        <is>
          <t>顶部30%获利比(加权)</t>
        </is>
      </c>
      <c r="C21" s="21" t="inlineStr">
        <is>
          <t>%</t>
        </is>
      </c>
      <c r="D21" s="9" t="n"/>
      <c r="E21" s="20" t="n"/>
      <c r="K21" s="18" t="inlineStr">
        <is>
          <t>MAIN_STOCK</t>
        </is>
      </c>
      <c r="L21" s="18">
        <f>R21&amp;":"&amp;K21</f>
        <v/>
      </c>
      <c r="M21" s="19">
        <f>M16</f>
        <v/>
      </c>
      <c r="N21" s="19">
        <f>N16</f>
        <v/>
      </c>
      <c r="O21" s="19">
        <f>O16</f>
        <v/>
      </c>
      <c r="P21" s="19">
        <f>P16</f>
        <v/>
      </c>
      <c r="Q21" s="19">
        <f>Q16</f>
        <v/>
      </c>
      <c r="R21" s="1" t="inlineStr">
        <is>
          <t>nq100</t>
        </is>
      </c>
    </row>
    <row r="22" customFormat="1" s="1">
      <c r="A22" s="20" t="inlineStr">
        <is>
          <t>winLow20_x</t>
        </is>
      </c>
      <c r="B22" s="20" t="inlineStr">
        <is>
          <t>底部20%获利比(加权)</t>
        </is>
      </c>
      <c r="C22" s="21" t="inlineStr">
        <is>
          <t>%</t>
        </is>
      </c>
      <c r="D22" s="9" t="n"/>
      <c r="E22" s="20" t="n"/>
      <c r="K22" s="20" t="inlineStr">
        <is>
          <t>ORG_CHIP</t>
        </is>
      </c>
      <c r="L22" s="13">
        <f>R22&amp;":"&amp;K22</f>
        <v/>
      </c>
      <c r="M22" s="21">
        <f>M17</f>
        <v/>
      </c>
      <c r="N22" s="21">
        <f>N17</f>
        <v/>
      </c>
      <c r="O22" s="21">
        <f>O17</f>
        <v/>
      </c>
      <c r="P22" s="21">
        <f>P17</f>
        <v/>
      </c>
      <c r="Q22" s="21">
        <f>Q17</f>
        <v/>
      </c>
      <c r="R22" s="1" t="inlineStr">
        <is>
          <t>nq100</t>
        </is>
      </c>
    </row>
    <row r="23" customFormat="1" s="1">
      <c r="A23" s="20" t="inlineStr">
        <is>
          <t>winHigh20_x</t>
        </is>
      </c>
      <c r="B23" s="20" t="inlineStr">
        <is>
          <t>顶部20%获利比(加权)</t>
        </is>
      </c>
      <c r="C23" s="21" t="inlineStr">
        <is>
          <t>%</t>
        </is>
      </c>
      <c r="D23" s="9" t="n"/>
      <c r="E23" s="20" t="n"/>
      <c r="K23" s="13" t="inlineStr">
        <is>
          <t>EIDE</t>
        </is>
      </c>
      <c r="L23" s="13">
        <f>R23&amp;":"&amp;K23</f>
        <v/>
      </c>
      <c r="M23" s="21" t="n"/>
      <c r="N23" s="21" t="n"/>
      <c r="O23" s="21" t="n"/>
      <c r="P23" s="21" t="n"/>
      <c r="Q23" s="21" t="n"/>
      <c r="R23" s="1" t="inlineStr">
        <is>
          <t>jp225</t>
        </is>
      </c>
    </row>
    <row r="24" ht="43.2" customFormat="1" customHeight="1" s="1">
      <c r="A24" s="20" t="inlineStr">
        <is>
          <t>skew_x</t>
        </is>
      </c>
      <c r="B24" s="20" t="inlineStr">
        <is>
          <t>偏度(加权)</t>
        </is>
      </c>
      <c r="C24" s="21" t="n">
        <v>2</v>
      </c>
      <c r="D24" s="14" t="inlineStr">
        <is>
          <t>偏度为正时，表示数据分布的右边/顶部部分更长、更尖；而当偏度为负时，则表示数据分布的左边、底部部分更长、更尖</t>
        </is>
      </c>
      <c r="E24" s="15" t="inlineStr">
        <is>
          <t>越小越好</t>
        </is>
      </c>
      <c r="K24" s="13" t="inlineStr">
        <is>
          <t>RNG60</t>
        </is>
      </c>
      <c r="L24" s="13">
        <f>R24&amp;":"&amp;K24</f>
        <v/>
      </c>
      <c r="M24" s="21">
        <f>M19</f>
        <v/>
      </c>
      <c r="N24" s="21">
        <f>N19</f>
        <v/>
      </c>
      <c r="O24" s="21">
        <f>O19</f>
        <v/>
      </c>
      <c r="P24" s="21">
        <f>P19</f>
        <v/>
      </c>
      <c r="Q24" s="21">
        <f>Q19</f>
        <v/>
      </c>
      <c r="R24" s="1" t="inlineStr">
        <is>
          <t>jp225</t>
        </is>
      </c>
    </row>
    <row r="25" ht="43.2" customFormat="1" customHeight="1" s="1">
      <c r="A25" s="20" t="inlineStr">
        <is>
          <t>kurtosis_x</t>
        </is>
      </c>
      <c r="B25" s="20" t="inlineStr">
        <is>
          <t>峰度(加权)</t>
        </is>
      </c>
      <c r="C25" s="21" t="n">
        <v>2</v>
      </c>
      <c r="D25" s="14" t="inlineStr">
        <is>
          <t>正态分布的峰度为3，当峰度大于3时，表示该分布比正态分布更陡峭，而当峰度小于3时，则表示该分布比正态分布更平缓</t>
        </is>
      </c>
      <c r="E25" s="15" t="inlineStr">
        <is>
          <t>看背离：指数新低，峰度上升</t>
        </is>
      </c>
      <c r="K25" s="13" t="inlineStr">
        <is>
          <t>RNG120</t>
        </is>
      </c>
      <c r="L25" s="13">
        <f>R25&amp;":"&amp;K25</f>
        <v/>
      </c>
      <c r="M25" s="21">
        <f>M20</f>
        <v/>
      </c>
      <c r="N25" s="21">
        <f>N20</f>
        <v/>
      </c>
      <c r="O25" s="21">
        <f>O20</f>
        <v/>
      </c>
      <c r="P25" s="21">
        <f>P20</f>
        <v/>
      </c>
      <c r="Q25" s="21">
        <f>Q20</f>
        <v/>
      </c>
      <c r="R25" s="1" t="inlineStr">
        <is>
          <t>jp225</t>
        </is>
      </c>
    </row>
    <row r="26" customFormat="1" s="1">
      <c r="A26" s="20" t="inlineStr">
        <is>
          <t>main_create</t>
        </is>
      </c>
      <c r="B26" s="20" t="inlineStr">
        <is>
          <t>主力建仓(avg)</t>
        </is>
      </c>
      <c r="C26" s="21" t="n">
        <v>0</v>
      </c>
      <c r="D26" s="9" t="n"/>
      <c r="E26" s="20" t="n"/>
      <c r="K26" s="18" t="inlineStr">
        <is>
          <t>MAIN_STOCK</t>
        </is>
      </c>
      <c r="L26" s="18">
        <f>R26&amp;":"&amp;K26</f>
        <v/>
      </c>
      <c r="M26" s="19">
        <f>M21</f>
        <v/>
      </c>
      <c r="N26" s="19">
        <f>N21</f>
        <v/>
      </c>
      <c r="O26" s="19">
        <f>O21</f>
        <v/>
      </c>
      <c r="P26" s="19">
        <f>P21</f>
        <v/>
      </c>
      <c r="Q26" s="19">
        <f>Q21</f>
        <v/>
      </c>
      <c r="R26" s="1" t="inlineStr">
        <is>
          <t>jp225</t>
        </is>
      </c>
    </row>
    <row r="27" customFormat="1" s="1">
      <c r="A27" s="20" t="inlineStr">
        <is>
          <t>min_price</t>
        </is>
      </c>
      <c r="B27" s="20" t="inlineStr">
        <is>
          <t>新低数120d(avg)</t>
        </is>
      </c>
      <c r="C27" s="21" t="n">
        <v>0</v>
      </c>
      <c r="D27" s="9" t="n"/>
      <c r="E27" s="20" t="n"/>
      <c r="K27" s="20" t="inlineStr">
        <is>
          <t>ORG_CHIP</t>
        </is>
      </c>
      <c r="L27" s="13">
        <f>R27&amp;":"&amp;K27</f>
        <v/>
      </c>
      <c r="M27" s="21">
        <f>M22</f>
        <v/>
      </c>
      <c r="N27" s="21">
        <f>N22</f>
        <v/>
      </c>
      <c r="O27" s="21">
        <f>O22</f>
        <v/>
      </c>
      <c r="P27" s="21">
        <f>P22</f>
        <v/>
      </c>
      <c r="Q27" s="21">
        <f>Q22</f>
        <v/>
      </c>
      <c r="R27" s="1" t="inlineStr">
        <is>
          <t>jp225</t>
        </is>
      </c>
    </row>
    <row r="28" customFormat="1" s="1">
      <c r="A28" s="20" t="inlineStr">
        <is>
          <t>max_price</t>
        </is>
      </c>
      <c r="B28" s="20" t="inlineStr">
        <is>
          <t>新高数120d(avg)</t>
        </is>
      </c>
      <c r="C28" s="21" t="n">
        <v>0</v>
      </c>
      <c r="D28" s="9" t="n"/>
      <c r="E28" s="20" t="n"/>
      <c r="K28" s="13" t="inlineStr">
        <is>
          <t>EIDE</t>
        </is>
      </c>
      <c r="L28" s="13">
        <f>R28&amp;":"&amp;K28</f>
        <v/>
      </c>
      <c r="M28" s="21" t="n"/>
      <c r="N28" s="21" t="n"/>
      <c r="O28" s="21" t="n"/>
      <c r="P28" s="21" t="n"/>
      <c r="Q28" s="21" t="n"/>
      <c r="R28" s="1" t="inlineStr">
        <is>
          <t>vn</t>
        </is>
      </c>
    </row>
    <row r="29" customFormat="1" s="1">
      <c r="A29" s="20" t="inlineStr">
        <is>
          <t>shadow</t>
        </is>
      </c>
      <c r="B29" s="20" t="inlineStr">
        <is>
          <t>下影线数120d(avg)</t>
        </is>
      </c>
      <c r="C29" s="21" t="n">
        <v>0</v>
      </c>
      <c r="D29" s="9" t="n"/>
      <c r="E29" s="20" t="n"/>
      <c r="K29" s="13" t="inlineStr">
        <is>
          <t>RNG60</t>
        </is>
      </c>
      <c r="L29" s="13">
        <f>R29&amp;":"&amp;K29</f>
        <v/>
      </c>
      <c r="M29" s="21">
        <f>M24</f>
        <v/>
      </c>
      <c r="N29" s="21">
        <f>N24</f>
        <v/>
      </c>
      <c r="O29" s="21">
        <f>O24</f>
        <v/>
      </c>
      <c r="P29" s="21">
        <f>P24</f>
        <v/>
      </c>
      <c r="Q29" s="21">
        <f>Q24</f>
        <v/>
      </c>
      <c r="R29" s="1" t="inlineStr">
        <is>
          <t>vn</t>
        </is>
      </c>
    </row>
    <row r="30" customFormat="1" s="1">
      <c r="A30" s="20" t="inlineStr">
        <is>
          <t>close_rmb</t>
        </is>
      </c>
      <c r="B30" s="20" t="inlineStr">
        <is>
          <t>人民币</t>
        </is>
      </c>
      <c r="C30" s="21" t="n">
        <v>2</v>
      </c>
      <c r="D30" s="9" t="n"/>
      <c r="E30" s="20" t="n"/>
      <c r="K30" s="13" t="inlineStr">
        <is>
          <t>RNG120</t>
        </is>
      </c>
      <c r="L30" s="13">
        <f>R30&amp;":"&amp;K30</f>
        <v/>
      </c>
      <c r="M30" s="21">
        <f>M25</f>
        <v/>
      </c>
      <c r="N30" s="21">
        <f>N25</f>
        <v/>
      </c>
      <c r="O30" s="21">
        <f>O25</f>
        <v/>
      </c>
      <c r="P30" s="21">
        <f>P25</f>
        <v/>
      </c>
      <c r="Q30" s="21">
        <f>Q25</f>
        <v/>
      </c>
      <c r="R30" s="1" t="inlineStr">
        <is>
          <t>vn</t>
        </is>
      </c>
    </row>
    <row r="31" customFormat="1" s="1">
      <c r="A31" s="20" t="inlineStr">
        <is>
          <t>rng_rmb</t>
        </is>
      </c>
      <c r="B31" s="20" t="inlineStr">
        <is>
          <t>人民币涨跌幅</t>
        </is>
      </c>
      <c r="C31" s="21" t="n">
        <v>2</v>
      </c>
      <c r="D31" s="9" t="n"/>
      <c r="E31" s="20" t="n"/>
      <c r="K31" s="18" t="inlineStr">
        <is>
          <t>MAIN_STOCK</t>
        </is>
      </c>
      <c r="L31" s="18">
        <f>R31&amp;":"&amp;K31</f>
        <v/>
      </c>
      <c r="M31" s="19">
        <f>M26</f>
        <v/>
      </c>
      <c r="N31" s="19">
        <f>N26</f>
        <v/>
      </c>
      <c r="O31" s="19">
        <f>O26</f>
        <v/>
      </c>
      <c r="P31" s="19">
        <f>P26</f>
        <v/>
      </c>
      <c r="Q31" s="19">
        <f>Q26</f>
        <v/>
      </c>
      <c r="R31" s="1" t="inlineStr">
        <is>
          <t>vn</t>
        </is>
      </c>
    </row>
    <row r="32" customFormat="1" s="1">
      <c r="A32" s="20" t="inlineStr">
        <is>
          <t>rng5_rmb</t>
        </is>
      </c>
      <c r="B32" s="20" t="inlineStr">
        <is>
          <t>人民币5日涨跌幅</t>
        </is>
      </c>
      <c r="C32" s="21" t="n">
        <v>2</v>
      </c>
      <c r="D32" s="9" t="n"/>
      <c r="E32" s="20" t="n"/>
      <c r="K32" s="20" t="inlineStr">
        <is>
          <t>ORG_CHIP</t>
        </is>
      </c>
      <c r="L32" s="13">
        <f>R32&amp;":"&amp;K32</f>
        <v/>
      </c>
      <c r="M32" s="21">
        <f>M27</f>
        <v/>
      </c>
      <c r="N32" s="21">
        <f>N27</f>
        <v/>
      </c>
      <c r="O32" s="21">
        <f>O27</f>
        <v/>
      </c>
      <c r="P32" s="21">
        <f>P27</f>
        <v/>
      </c>
      <c r="Q32" s="21">
        <f>Q27</f>
        <v/>
      </c>
      <c r="R32" s="1" t="inlineStr">
        <is>
          <t>vn</t>
        </is>
      </c>
    </row>
    <row r="33" customFormat="1" s="1">
      <c r="A33" s="20" t="inlineStr">
        <is>
          <t>rng20_rmb</t>
        </is>
      </c>
      <c r="B33" s="20" t="inlineStr">
        <is>
          <t>人民币20日涨跌幅</t>
        </is>
      </c>
      <c r="C33" s="21" t="n">
        <v>2</v>
      </c>
      <c r="D33" s="9" t="n"/>
      <c r="E33" s="20" t="n"/>
      <c r="K33" s="13" t="inlineStr">
        <is>
          <t>EIDE</t>
        </is>
      </c>
      <c r="L33" s="13">
        <f>R33&amp;":"&amp;K33</f>
        <v/>
      </c>
      <c r="M33" s="21" t="n"/>
      <c r="N33" s="21" t="n"/>
      <c r="O33" s="21" t="n"/>
      <c r="P33" s="21" t="n"/>
      <c r="Q33" s="21" t="n"/>
      <c r="R33" s="1" t="inlineStr">
        <is>
          <t>sensex</t>
        </is>
      </c>
    </row>
    <row r="34" customFormat="1" s="1">
      <c r="A34" s="20" t="inlineStr">
        <is>
          <t>rng60_rmb</t>
        </is>
      </c>
      <c r="B34" s="20" t="inlineStr">
        <is>
          <t>人民币60日涨跌幅</t>
        </is>
      </c>
      <c r="C34" s="21" t="n">
        <v>2</v>
      </c>
      <c r="D34" s="9" t="n"/>
      <c r="E34" s="20" t="n"/>
      <c r="K34" s="13" t="inlineStr">
        <is>
          <t>RNG60</t>
        </is>
      </c>
      <c r="L34" s="13">
        <f>R34&amp;":"&amp;K34</f>
        <v/>
      </c>
      <c r="M34" s="21">
        <f>M29</f>
        <v/>
      </c>
      <c r="N34" s="21">
        <f>N29</f>
        <v/>
      </c>
      <c r="O34" s="21">
        <f>O29</f>
        <v/>
      </c>
      <c r="P34" s="21">
        <f>P29</f>
        <v/>
      </c>
      <c r="Q34" s="21">
        <f>Q29</f>
        <v/>
      </c>
      <c r="R34" s="1" t="inlineStr">
        <is>
          <t>sensex</t>
        </is>
      </c>
    </row>
    <row r="35" customFormat="1" s="1">
      <c r="A35" s="20" t="inlineStr">
        <is>
          <t>当日成交净买额</t>
        </is>
      </c>
      <c r="B35" s="20" t="inlineStr">
        <is>
          <t>北向日净买</t>
        </is>
      </c>
      <c r="C35" s="21" t="n">
        <v>2</v>
      </c>
      <c r="D35" s="9" t="n"/>
      <c r="E35" s="20" t="n"/>
      <c r="K35" s="13" t="inlineStr">
        <is>
          <t>RNG120</t>
        </is>
      </c>
      <c r="L35" s="13">
        <f>R35&amp;":"&amp;K35</f>
        <v/>
      </c>
      <c r="M35" s="21">
        <f>M30</f>
        <v/>
      </c>
      <c r="N35" s="21">
        <f>N30</f>
        <v/>
      </c>
      <c r="O35" s="21">
        <f>O30</f>
        <v/>
      </c>
      <c r="P35" s="21">
        <f>P30</f>
        <v/>
      </c>
      <c r="Q35" s="21">
        <f>Q30</f>
        <v/>
      </c>
      <c r="R35" s="1" t="inlineStr">
        <is>
          <t>sensex</t>
        </is>
      </c>
    </row>
    <row r="36" customFormat="1" s="1">
      <c r="A36" s="20" t="inlineStr">
        <is>
          <t>历史累计净买额</t>
        </is>
      </c>
      <c r="B36" s="20" t="inlineStr">
        <is>
          <t>北向累计净买</t>
        </is>
      </c>
      <c r="C36" s="21" t="n">
        <v>2</v>
      </c>
      <c r="D36" s="9" t="n"/>
      <c r="E36" s="20" t="n"/>
      <c r="K36" s="18" t="inlineStr">
        <is>
          <t>MAIN_STOCK</t>
        </is>
      </c>
      <c r="L36" s="18">
        <f>R36&amp;":"&amp;K36</f>
        <v/>
      </c>
      <c r="M36" s="19">
        <f>M31</f>
        <v/>
      </c>
      <c r="N36" s="19">
        <f>N31</f>
        <v/>
      </c>
      <c r="O36" s="19">
        <f>O31</f>
        <v/>
      </c>
      <c r="P36" s="19">
        <f>P31</f>
        <v/>
      </c>
      <c r="Q36" s="19">
        <f>Q31</f>
        <v/>
      </c>
      <c r="R36" s="1" t="inlineStr">
        <is>
          <t>sensex</t>
        </is>
      </c>
    </row>
    <row r="37" customFormat="1" s="1">
      <c r="A37" s="20" t="inlineStr">
        <is>
          <t>high60a</t>
        </is>
      </c>
      <c r="B37" s="20" t="inlineStr">
        <is>
          <t>新高数60d</t>
        </is>
      </c>
      <c r="C37" s="21" t="n">
        <v>0</v>
      </c>
      <c r="D37" s="9" t="n"/>
      <c r="E37" s="20" t="n"/>
      <c r="K37" s="20" t="inlineStr">
        <is>
          <t>ORG_CHIP</t>
        </is>
      </c>
      <c r="L37" s="13">
        <f>R37&amp;":"&amp;K37</f>
        <v/>
      </c>
      <c r="M37" s="21">
        <f>M32</f>
        <v/>
      </c>
      <c r="N37" s="21">
        <f>N32</f>
        <v/>
      </c>
      <c r="O37" s="21">
        <f>O32</f>
        <v/>
      </c>
      <c r="P37" s="21">
        <f>P32</f>
        <v/>
      </c>
      <c r="Q37" s="21">
        <f>Q32</f>
        <v/>
      </c>
      <c r="R37" s="1" t="inlineStr">
        <is>
          <t>sensex</t>
        </is>
      </c>
    </row>
    <row r="38" customFormat="1" s="1">
      <c r="A38" s="20" t="inlineStr">
        <is>
          <t>low60a</t>
        </is>
      </c>
      <c r="B38" s="20" t="inlineStr">
        <is>
          <t>新低数60d</t>
        </is>
      </c>
      <c r="C38" s="21" t="n">
        <v>0</v>
      </c>
      <c r="D38" s="9" t="n"/>
      <c r="E38" s="20" t="n"/>
      <c r="K38" s="13" t="inlineStr">
        <is>
          <t>EIDE</t>
        </is>
      </c>
      <c r="L38" s="13">
        <f>R38&amp;":"&amp;K38</f>
        <v/>
      </c>
      <c r="M38" s="21" t="n"/>
      <c r="N38" s="21" t="n"/>
      <c r="O38" s="21" t="n"/>
      <c r="P38" s="21" t="n"/>
      <c r="Q38" s="21" t="n"/>
      <c r="R38" s="1" t="inlineStr">
        <is>
          <t>fr40</t>
        </is>
      </c>
    </row>
    <row r="39" customFormat="1" s="1">
      <c r="A39" s="20" t="inlineStr">
        <is>
          <t>high60ic</t>
        </is>
      </c>
      <c r="B39" s="20" t="inlineStr">
        <is>
          <t>新高数60d(zz500)</t>
        </is>
      </c>
      <c r="C39" s="21" t="n">
        <v>0</v>
      </c>
      <c r="D39" s="9" t="n"/>
      <c r="E39" s="20" t="n"/>
      <c r="K39" s="13" t="inlineStr">
        <is>
          <t>RNG60</t>
        </is>
      </c>
      <c r="L39" s="13">
        <f>R39&amp;":"&amp;K39</f>
        <v/>
      </c>
      <c r="M39" s="21">
        <f>M34</f>
        <v/>
      </c>
      <c r="N39" s="21">
        <f>N34</f>
        <v/>
      </c>
      <c r="O39" s="21">
        <f>O34</f>
        <v/>
      </c>
      <c r="P39" s="21">
        <f>P34</f>
        <v/>
      </c>
      <c r="Q39" s="21">
        <f>Q34</f>
        <v/>
      </c>
      <c r="R39" s="1" t="inlineStr">
        <is>
          <t>fr40</t>
        </is>
      </c>
    </row>
    <row r="40" customFormat="1" s="1">
      <c r="A40" s="20" t="inlineStr">
        <is>
          <t>low60ic</t>
        </is>
      </c>
      <c r="B40" s="20" t="inlineStr">
        <is>
          <t>新低数60d(zz500)</t>
        </is>
      </c>
      <c r="C40" s="21" t="n">
        <v>0</v>
      </c>
      <c r="D40" s="9" t="n"/>
      <c r="E40" s="20" t="n"/>
      <c r="K40" s="13" t="inlineStr">
        <is>
          <t>RNG120</t>
        </is>
      </c>
      <c r="L40" s="13">
        <f>R40&amp;":"&amp;K40</f>
        <v/>
      </c>
      <c r="M40" s="21">
        <f>M35</f>
        <v/>
      </c>
      <c r="N40" s="21">
        <f>N35</f>
        <v/>
      </c>
      <c r="O40" s="21">
        <f>O35</f>
        <v/>
      </c>
      <c r="P40" s="21">
        <f>P35</f>
        <v/>
      </c>
      <c r="Q40" s="21">
        <f>Q35</f>
        <v/>
      </c>
      <c r="R40" s="1" t="inlineStr">
        <is>
          <t>fr40</t>
        </is>
      </c>
    </row>
    <row r="41" customFormat="1" s="1">
      <c r="A41" s="20" t="inlineStr">
        <is>
          <t>fut_idx</t>
        </is>
      </c>
      <c r="B41" s="20" t="inlineStr">
        <is>
          <t>奇货股指(qhkch)</t>
        </is>
      </c>
      <c r="C41" s="21" t="n">
        <v>0</v>
      </c>
      <c r="D41" s="9" t="n"/>
      <c r="E41" s="20" t="n"/>
      <c r="K41" s="18" t="inlineStr">
        <is>
          <t>MAIN_STOCK</t>
        </is>
      </c>
      <c r="L41" s="18">
        <f>R41&amp;":"&amp;K41</f>
        <v/>
      </c>
      <c r="M41" s="19">
        <f>M36</f>
        <v/>
      </c>
      <c r="N41" s="19">
        <f>N36</f>
        <v/>
      </c>
      <c r="O41" s="19">
        <f>O36</f>
        <v/>
      </c>
      <c r="P41" s="19">
        <f>P36</f>
        <v/>
      </c>
      <c r="Q41" s="19">
        <f>Q36</f>
        <v/>
      </c>
      <c r="R41" s="1" t="inlineStr">
        <is>
          <t>fr40</t>
        </is>
      </c>
    </row>
    <row r="42" customFormat="1" s="1">
      <c r="A42" s="20" t="inlineStr">
        <is>
          <t>fut_vol</t>
        </is>
      </c>
      <c r="B42" s="20" t="inlineStr">
        <is>
          <t>股指成交量</t>
        </is>
      </c>
      <c r="C42" s="21" t="n">
        <v>0</v>
      </c>
      <c r="D42" s="9" t="n"/>
      <c r="E42" s="20" t="n"/>
      <c r="K42" s="20" t="inlineStr">
        <is>
          <t>ORG_CHIP</t>
        </is>
      </c>
      <c r="L42" s="13">
        <f>R42&amp;":"&amp;K42</f>
        <v/>
      </c>
      <c r="M42" s="21">
        <f>M37</f>
        <v/>
      </c>
      <c r="N42" s="21">
        <f>N37</f>
        <v/>
      </c>
      <c r="O42" s="21">
        <f>O37</f>
        <v/>
      </c>
      <c r="P42" s="21">
        <f>P37</f>
        <v/>
      </c>
      <c r="Q42" s="21">
        <f>Q37</f>
        <v/>
      </c>
      <c r="R42" s="1" t="inlineStr">
        <is>
          <t>de40</t>
        </is>
      </c>
    </row>
    <row r="43" customFormat="1" s="1">
      <c r="A43" s="20" t="inlineStr">
        <is>
          <t>pos_cnt</t>
        </is>
      </c>
      <c r="B43" s="20" t="inlineStr">
        <is>
          <t>股指持仓量</t>
        </is>
      </c>
      <c r="C43" s="21" t="n">
        <v>0</v>
      </c>
      <c r="D43" s="9" t="n"/>
      <c r="E43" s="20" t="n"/>
      <c r="K43" s="13" t="inlineStr">
        <is>
          <t>EIDE</t>
        </is>
      </c>
      <c r="L43" s="13">
        <f>R43&amp;":"&amp;K43</f>
        <v/>
      </c>
      <c r="M43" s="21" t="n"/>
      <c r="N43" s="21" t="n"/>
      <c r="O43" s="21" t="n"/>
      <c r="P43" s="21" t="n"/>
      <c r="Q43" s="21" t="n"/>
      <c r="R43" s="1" t="inlineStr">
        <is>
          <t>dax30</t>
        </is>
      </c>
    </row>
    <row r="44" customFormat="1" s="1">
      <c r="A44" s="20" t="inlineStr">
        <is>
          <t>pos_value</t>
        </is>
      </c>
      <c r="B44" s="20" t="inlineStr">
        <is>
          <t>股指持仓市值(亿)</t>
        </is>
      </c>
      <c r="C44" s="21" t="n">
        <v>2</v>
      </c>
      <c r="D44" s="9" t="n"/>
      <c r="E44" s="20" t="n"/>
      <c r="K44" s="13" t="inlineStr">
        <is>
          <t>RNG60</t>
        </is>
      </c>
      <c r="L44" s="13">
        <f>R44&amp;":"&amp;K44</f>
        <v/>
      </c>
      <c r="M44" s="21">
        <f>M39</f>
        <v/>
      </c>
      <c r="N44" s="21">
        <f>N39</f>
        <v/>
      </c>
      <c r="O44" s="21">
        <f>O39</f>
        <v/>
      </c>
      <c r="P44" s="21">
        <f>P39</f>
        <v/>
      </c>
      <c r="Q44" s="21">
        <f>Q39</f>
        <v/>
      </c>
      <c r="R44" s="1" t="inlineStr">
        <is>
          <t>dax30</t>
        </is>
      </c>
    </row>
    <row r="45" customFormat="1" s="1">
      <c r="A45" s="20" t="inlineStr">
        <is>
          <t>long_short_ratio</t>
        </is>
      </c>
      <c r="B45" s="20" t="inlineStr">
        <is>
          <t>多空比</t>
        </is>
      </c>
      <c r="C45" s="21" t="n">
        <v>2</v>
      </c>
      <c r="D45" s="9" t="n"/>
      <c r="E45" s="20" t="n"/>
      <c r="K45" s="13" t="inlineStr">
        <is>
          <t>RNG120</t>
        </is>
      </c>
      <c r="L45" s="13">
        <f>R45&amp;":"&amp;K45</f>
        <v/>
      </c>
      <c r="M45" s="21">
        <f>M40</f>
        <v/>
      </c>
      <c r="N45" s="21">
        <f>N40</f>
        <v/>
      </c>
      <c r="O45" s="21">
        <f>O40</f>
        <v/>
      </c>
      <c r="P45" s="21">
        <f>P40</f>
        <v/>
      </c>
      <c r="Q45" s="21">
        <f>Q40</f>
        <v/>
      </c>
      <c r="R45" s="1" t="inlineStr">
        <is>
          <t>dax30</t>
        </is>
      </c>
    </row>
    <row r="46" customFormat="1" s="1">
      <c r="A46" s="20" t="inlineStr">
        <is>
          <t>long_short_val</t>
        </is>
      </c>
      <c r="B46" s="20" t="inlineStr">
        <is>
          <t>多空差(亿)</t>
        </is>
      </c>
      <c r="C46" s="21" t="n">
        <v>2</v>
      </c>
      <c r="D46" s="9" t="n"/>
      <c r="E46" s="20" t="n"/>
      <c r="K46" s="18" t="inlineStr">
        <is>
          <t>MAIN_STOCK</t>
        </is>
      </c>
      <c r="L46" s="18">
        <f>R46&amp;":"&amp;K46</f>
        <v/>
      </c>
      <c r="M46" s="19">
        <f>M41</f>
        <v/>
      </c>
      <c r="N46" s="19">
        <f>N41</f>
        <v/>
      </c>
      <c r="O46" s="19">
        <f>O41</f>
        <v/>
      </c>
      <c r="P46" s="19">
        <f>P41</f>
        <v/>
      </c>
      <c r="Q46" s="19">
        <f>Q41</f>
        <v/>
      </c>
      <c r="R46" s="1" t="inlineStr">
        <is>
          <t>dax30</t>
        </is>
      </c>
    </row>
    <row r="47" customFormat="1" s="1">
      <c r="A47" s="20" t="inlineStr">
        <is>
          <t>im_net_ss_n</t>
        </is>
      </c>
      <c r="B47" s="20" t="inlineStr">
        <is>
          <t>中证1000当月空单</t>
        </is>
      </c>
      <c r="C47" s="21" t="n">
        <v>0</v>
      </c>
      <c r="D47" s="9" t="n"/>
      <c r="E47" s="20" t="n"/>
      <c r="K47" s="20" t="inlineStr">
        <is>
          <t>ORG_CHIP</t>
        </is>
      </c>
      <c r="L47" s="13">
        <f>R47&amp;":"&amp;K47</f>
        <v/>
      </c>
      <c r="M47" s="21">
        <f>M42</f>
        <v/>
      </c>
      <c r="N47" s="21">
        <f>N42</f>
        <v/>
      </c>
      <c r="O47" s="21">
        <f>O42</f>
        <v/>
      </c>
      <c r="P47" s="21">
        <f>P42</f>
        <v/>
      </c>
      <c r="Q47" s="21">
        <f>Q42</f>
        <v/>
      </c>
      <c r="R47" s="1" t="inlineStr">
        <is>
          <t>dax30</t>
        </is>
      </c>
    </row>
    <row r="48" customFormat="1" s="1">
      <c r="A48" s="20" t="inlineStr">
        <is>
          <t>im_net_buy_n</t>
        </is>
      </c>
      <c r="B48" s="20" t="inlineStr">
        <is>
          <t>中证1000当月多单</t>
        </is>
      </c>
      <c r="C48" s="21" t="n">
        <v>0</v>
      </c>
      <c r="D48" s="9" t="n"/>
      <c r="E48" s="20" t="n"/>
      <c r="K48" s="13" t="inlineStr">
        <is>
          <t>EIDE</t>
        </is>
      </c>
      <c r="L48" s="13">
        <f>R48&amp;":"&amp;K48</f>
        <v/>
      </c>
      <c r="M48" s="21" t="n"/>
      <c r="N48" s="21" t="n"/>
      <c r="O48" s="21" t="n"/>
      <c r="P48" s="21" t="n"/>
      <c r="Q48" s="21" t="n"/>
      <c r="R48" s="1" t="inlineStr">
        <is>
          <t>gb100</t>
        </is>
      </c>
    </row>
    <row r="49" customFormat="1" s="1">
      <c r="A49" s="20" t="inlineStr">
        <is>
          <t>if_net_ss_n</t>
        </is>
      </c>
      <c r="B49" s="20" t="inlineStr">
        <is>
          <t>沪深300当月空单</t>
        </is>
      </c>
      <c r="C49" s="21" t="n">
        <v>0</v>
      </c>
      <c r="D49" s="9" t="n"/>
      <c r="E49" s="20" t="n"/>
      <c r="K49" s="13" t="inlineStr">
        <is>
          <t>RNG60</t>
        </is>
      </c>
      <c r="L49" s="13">
        <f>R49&amp;":"&amp;K49</f>
        <v/>
      </c>
      <c r="M49" s="21">
        <f>M44</f>
        <v/>
      </c>
      <c r="N49" s="21">
        <f>N44</f>
        <v/>
      </c>
      <c r="O49" s="21">
        <f>O44</f>
        <v/>
      </c>
      <c r="P49" s="21">
        <f>P44</f>
        <v/>
      </c>
      <c r="Q49" s="21">
        <f>Q44</f>
        <v/>
      </c>
      <c r="R49" s="1" t="inlineStr">
        <is>
          <t>gb100</t>
        </is>
      </c>
    </row>
    <row r="50" customFormat="1" s="1">
      <c r="A50" s="20" t="inlineStr">
        <is>
          <t>if_net_buy_n</t>
        </is>
      </c>
      <c r="B50" s="20" t="inlineStr">
        <is>
          <t>沪深300当月多单</t>
        </is>
      </c>
      <c r="C50" s="21" t="n">
        <v>0</v>
      </c>
      <c r="D50" s="9" t="n"/>
      <c r="E50" s="20" t="n"/>
      <c r="K50" s="13" t="inlineStr">
        <is>
          <t>RNG120</t>
        </is>
      </c>
      <c r="L50" s="13">
        <f>R50&amp;":"&amp;K50</f>
        <v/>
      </c>
      <c r="M50" s="21">
        <f>M45</f>
        <v/>
      </c>
      <c r="N50" s="21">
        <f>N45</f>
        <v/>
      </c>
      <c r="O50" s="21">
        <f>O45</f>
        <v/>
      </c>
      <c r="P50" s="21">
        <f>P45</f>
        <v/>
      </c>
      <c r="Q50" s="21">
        <f>Q45</f>
        <v/>
      </c>
      <c r="R50" s="1" t="inlineStr">
        <is>
          <t>gb100</t>
        </is>
      </c>
    </row>
    <row r="51" customFormat="1" s="1">
      <c r="A51" s="20" t="inlineStr">
        <is>
          <t>ic_net_ss_n</t>
        </is>
      </c>
      <c r="B51" s="20" t="inlineStr">
        <is>
          <t>中证500当月空单</t>
        </is>
      </c>
      <c r="C51" s="21" t="n">
        <v>0</v>
      </c>
      <c r="D51" s="9" t="n"/>
      <c r="E51" s="20" t="n"/>
      <c r="K51" s="18" t="inlineStr">
        <is>
          <t>MAIN_STOCK</t>
        </is>
      </c>
      <c r="L51" s="18">
        <f>R51&amp;":"&amp;K51</f>
        <v/>
      </c>
      <c r="M51" s="19">
        <f>M46</f>
        <v/>
      </c>
      <c r="N51" s="19">
        <f>N46</f>
        <v/>
      </c>
      <c r="O51" s="19">
        <f>O46</f>
        <v/>
      </c>
      <c r="P51" s="19">
        <f>P46</f>
        <v/>
      </c>
      <c r="Q51" s="19">
        <f>Q46</f>
        <v/>
      </c>
      <c r="R51" s="1" t="inlineStr">
        <is>
          <t>gb100</t>
        </is>
      </c>
    </row>
    <row r="52" customFormat="1" s="1">
      <c r="A52" s="20" t="inlineStr">
        <is>
          <t>ic_net_buy_n</t>
        </is>
      </c>
      <c r="B52" s="20" t="inlineStr">
        <is>
          <t>中证500当月多单</t>
        </is>
      </c>
      <c r="C52" s="21" t="n">
        <v>0</v>
      </c>
      <c r="D52" s="9" t="n"/>
      <c r="E52" s="20" t="n"/>
      <c r="K52" s="20" t="inlineStr">
        <is>
          <t>ORG_CHIP</t>
        </is>
      </c>
      <c r="L52" s="13">
        <f>R52&amp;":"&amp;K52</f>
        <v/>
      </c>
      <c r="M52" s="21">
        <f>M47</f>
        <v/>
      </c>
      <c r="N52" s="21">
        <f>N47</f>
        <v/>
      </c>
      <c r="O52" s="21">
        <f>O47</f>
        <v/>
      </c>
      <c r="P52" s="21">
        <f>P47</f>
        <v/>
      </c>
      <c r="Q52" s="21">
        <f>Q47</f>
        <v/>
      </c>
      <c r="R52" s="1" t="inlineStr">
        <is>
          <t>gb100</t>
        </is>
      </c>
    </row>
    <row r="53" customFormat="1" s="1">
      <c r="A53" s="20" t="inlineStr">
        <is>
          <t>ih_net_ss_n</t>
        </is>
      </c>
      <c r="B53" s="20" t="inlineStr">
        <is>
          <t>上证50当月空单</t>
        </is>
      </c>
      <c r="C53" s="21" t="n">
        <v>0</v>
      </c>
      <c r="D53" s="9" t="n"/>
      <c r="E53" s="20" t="n"/>
    </row>
    <row r="54" customFormat="1" s="1">
      <c r="A54" s="20" t="inlineStr">
        <is>
          <t>ih_net_buy_n</t>
        </is>
      </c>
      <c r="B54" s="20" t="inlineStr">
        <is>
          <t>上证50当月多单</t>
        </is>
      </c>
      <c r="C54" s="21" t="n">
        <v>0</v>
      </c>
      <c r="D54" s="9" t="n"/>
      <c r="E54" s="20" t="n"/>
    </row>
    <row r="55" customFormat="1" s="1">
      <c r="A55" s="20" t="inlineStr">
        <is>
          <t>im_net_ss_a</t>
        </is>
      </c>
      <c r="B55" s="20" t="inlineStr">
        <is>
          <t>中证1000累计空单</t>
        </is>
      </c>
      <c r="C55" s="21" t="n">
        <v>0</v>
      </c>
      <c r="D55" s="9" t="n"/>
      <c r="E55" s="20" t="n"/>
    </row>
    <row r="56" customFormat="1" s="1">
      <c r="A56" s="20" t="inlineStr">
        <is>
          <t>im_net_buy_a</t>
        </is>
      </c>
      <c r="B56" s="20" t="inlineStr">
        <is>
          <t>中证1000累计多单</t>
        </is>
      </c>
      <c r="C56" s="21" t="n">
        <v>0</v>
      </c>
      <c r="D56" s="9" t="n"/>
      <c r="E56" s="20" t="n"/>
    </row>
    <row r="57" customFormat="1" s="1">
      <c r="A57" s="20" t="inlineStr">
        <is>
          <t>if_net_ss_a</t>
        </is>
      </c>
      <c r="B57" s="20" t="inlineStr">
        <is>
          <t>沪深300累计空单</t>
        </is>
      </c>
      <c r="C57" s="21" t="n">
        <v>0</v>
      </c>
      <c r="D57" s="9" t="n"/>
      <c r="E57" s="20" t="n"/>
    </row>
    <row r="58" customFormat="1" s="1">
      <c r="A58" s="20" t="inlineStr">
        <is>
          <t>if_net_buy_a</t>
        </is>
      </c>
      <c r="B58" s="20" t="inlineStr">
        <is>
          <t>沪深300累计多单</t>
        </is>
      </c>
      <c r="C58" s="21" t="n">
        <v>0</v>
      </c>
      <c r="D58" s="9" t="n"/>
      <c r="E58" s="20" t="n"/>
    </row>
    <row r="59" customFormat="1" s="1">
      <c r="A59" s="20" t="inlineStr">
        <is>
          <t>ic_net_ss_a</t>
        </is>
      </c>
      <c r="B59" s="20" t="inlineStr">
        <is>
          <t>中证500累计空单</t>
        </is>
      </c>
      <c r="C59" s="21" t="n">
        <v>0</v>
      </c>
      <c r="D59" s="9" t="n"/>
      <c r="E59" s="20" t="n"/>
    </row>
    <row r="60" customFormat="1" s="1">
      <c r="A60" s="20" t="inlineStr">
        <is>
          <t>ic_net_buy_a</t>
        </is>
      </c>
      <c r="B60" s="20" t="inlineStr">
        <is>
          <t>中证500累计多单</t>
        </is>
      </c>
      <c r="C60" s="21" t="n">
        <v>0</v>
      </c>
      <c r="D60" s="9" t="n"/>
      <c r="E60" s="20" t="n"/>
    </row>
    <row r="61" customFormat="1" s="1">
      <c r="A61" s="20" t="inlineStr">
        <is>
          <t>ih_net_ss_a</t>
        </is>
      </c>
      <c r="B61" s="20" t="inlineStr">
        <is>
          <t>上证50累计空单</t>
        </is>
      </c>
      <c r="C61" s="21" t="n">
        <v>0</v>
      </c>
      <c r="D61" s="9" t="n"/>
      <c r="E61" s="20" t="n"/>
    </row>
    <row r="62" customFormat="1" s="1">
      <c r="A62" s="20" t="inlineStr">
        <is>
          <t>ih_net_buy_a</t>
        </is>
      </c>
      <c r="B62" s="20" t="inlineStr">
        <is>
          <t>上证50累计多单</t>
        </is>
      </c>
      <c r="C62" s="21" t="n">
        <v>0</v>
      </c>
      <c r="D62" s="9" t="n"/>
      <c r="E62" s="20" t="n"/>
    </row>
    <row r="63" customFormat="1" s="1">
      <c r="A63" s="20" t="inlineStr">
        <is>
          <t>net_buy_n</t>
        </is>
      </c>
      <c r="B63" s="20" t="inlineStr">
        <is>
          <t>当月净多单</t>
        </is>
      </c>
      <c r="C63" s="21" t="n">
        <v>0</v>
      </c>
      <c r="D63" s="9" t="n"/>
      <c r="E63" s="20" t="n"/>
    </row>
    <row r="64" customFormat="1" s="1">
      <c r="A64" s="20" t="inlineStr">
        <is>
          <t>net_ss_n</t>
        </is>
      </c>
      <c r="B64" s="20" t="inlineStr">
        <is>
          <t>当月净空单</t>
        </is>
      </c>
      <c r="C64" s="21" t="n">
        <v>0</v>
      </c>
      <c r="D64" s="9" t="n"/>
      <c r="E64" s="20" t="n"/>
    </row>
    <row r="65" customFormat="1" s="1">
      <c r="A65" s="20" t="inlineStr">
        <is>
          <t>net_buy_a</t>
        </is>
      </c>
      <c r="B65" s="20" t="inlineStr">
        <is>
          <t>累计净多单</t>
        </is>
      </c>
      <c r="C65" s="21" t="n">
        <v>0</v>
      </c>
      <c r="D65" s="9" t="n"/>
      <c r="E65" s="20" t="n"/>
    </row>
    <row r="66" customFormat="1" s="1">
      <c r="A66" s="20" t="inlineStr">
        <is>
          <t>net_ss_a</t>
        </is>
      </c>
      <c r="B66" s="20" t="inlineStr">
        <is>
          <t>累计净空单</t>
        </is>
      </c>
      <c r="C66" s="21" t="n">
        <v>0</v>
      </c>
      <c r="D66" s="9" t="n"/>
      <c r="E66" s="20" t="n"/>
    </row>
    <row r="67" customFormat="1" s="1">
      <c r="A67" s="20" t="inlineStr">
        <is>
          <t>winner_y</t>
        </is>
      </c>
      <c r="B67" s="20" t="inlineStr">
        <is>
          <t>获利比(sh)</t>
        </is>
      </c>
      <c r="C67" s="21" t="inlineStr">
        <is>
          <t>%</t>
        </is>
      </c>
      <c r="D67" s="9" t="n"/>
      <c r="E67" s="20" t="n"/>
    </row>
    <row r="68" customFormat="1" s="1">
      <c r="A68" s="20" t="inlineStr">
        <is>
          <t>winPeak_y</t>
        </is>
      </c>
      <c r="B68" s="20" t="inlineStr">
        <is>
          <t>筹码峰获利比(sh)</t>
        </is>
      </c>
      <c r="C68" s="21" t="inlineStr">
        <is>
          <t>%</t>
        </is>
      </c>
      <c r="D68" s="9" t="n"/>
      <c r="E68" s="20" t="n"/>
    </row>
    <row r="69" customFormat="1" s="1">
      <c r="A69" s="20" t="inlineStr">
        <is>
          <t>winLow30_y</t>
        </is>
      </c>
      <c r="B69" s="20" t="inlineStr">
        <is>
          <t>底部30%获利比(sh)</t>
        </is>
      </c>
      <c r="C69" s="21" t="inlineStr">
        <is>
          <t>%</t>
        </is>
      </c>
      <c r="D69" s="9" t="n"/>
      <c r="E69" s="20" t="n"/>
    </row>
    <row r="70" customFormat="1" s="1">
      <c r="A70" s="20" t="inlineStr">
        <is>
          <t>winHigh30_y</t>
        </is>
      </c>
      <c r="B70" s="20" t="inlineStr">
        <is>
          <t>顶部30%获利比(sh)</t>
        </is>
      </c>
      <c r="C70" s="21" t="inlineStr">
        <is>
          <t>%</t>
        </is>
      </c>
      <c r="D70" s="9" t="n"/>
      <c r="E70" s="20" t="n"/>
    </row>
    <row r="71" customFormat="1" s="1">
      <c r="A71" s="20" t="inlineStr">
        <is>
          <t>winLow20_y</t>
        </is>
      </c>
      <c r="B71" s="20" t="inlineStr">
        <is>
          <t>底部20%获利比(sh)</t>
        </is>
      </c>
      <c r="C71" s="21" t="inlineStr">
        <is>
          <t>%</t>
        </is>
      </c>
      <c r="D71" s="9" t="n"/>
      <c r="E71" s="20" t="n"/>
    </row>
    <row r="72" customFormat="1" s="1">
      <c r="A72" s="20" t="inlineStr">
        <is>
          <t>winHigh20_y</t>
        </is>
      </c>
      <c r="B72" s="20" t="inlineStr">
        <is>
          <t>顶部20%获利比(sh)</t>
        </is>
      </c>
      <c r="C72" s="21" t="inlineStr">
        <is>
          <t>%</t>
        </is>
      </c>
      <c r="D72" s="9" t="n"/>
      <c r="E72" s="20" t="n"/>
    </row>
    <row r="73" customFormat="1" s="1">
      <c r="A73" s="20" t="inlineStr">
        <is>
          <t>pricePeak</t>
        </is>
      </c>
      <c r="B73" s="20" t="inlineStr">
        <is>
          <t>筹码峰价格(sh)</t>
        </is>
      </c>
      <c r="C73" s="21" t="n">
        <v>1</v>
      </c>
      <c r="D73" s="9" t="n"/>
      <c r="E73" s="20" t="n"/>
    </row>
    <row r="74" customFormat="1" s="1">
      <c r="A74" s="20" t="inlineStr">
        <is>
          <t>skew_y</t>
        </is>
      </c>
      <c r="B74" s="20" t="inlineStr">
        <is>
          <t>偏度(sh)</t>
        </is>
      </c>
      <c r="C74" s="21" t="n">
        <v>2</v>
      </c>
      <c r="D74" s="9" t="n"/>
      <c r="E74" s="20" t="n"/>
    </row>
    <row r="75" customFormat="1" s="1">
      <c r="A75" s="20" t="inlineStr">
        <is>
          <t>kurtosis_y</t>
        </is>
      </c>
      <c r="B75" s="20" t="inlineStr">
        <is>
          <t>峰度(sh)</t>
        </is>
      </c>
      <c r="C75" s="21" t="n">
        <v>2</v>
      </c>
      <c r="D75" s="9" t="n"/>
      <c r="E75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2024-02-01T00:04:26Z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